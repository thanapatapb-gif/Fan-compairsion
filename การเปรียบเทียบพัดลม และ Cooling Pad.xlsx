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5d7cadb22e104b/Desktop/KSP/ฟาร์ม PS1^J PS2/"/>
    </mc:Choice>
  </mc:AlternateContent>
  <xr:revisionPtr revIDLastSave="552" documentId="13_ncr:1_{53307564-ACCC-4B20-9A7F-B427A70F121A}" xr6:coauthVersionLast="47" xr6:coauthVersionMax="47" xr10:uidLastSave="{990EECA2-FD1A-45D0-89D5-601BB12908AF}"/>
  <bookViews>
    <workbookView xWindow="-108" yWindow="-108" windowWidth="23256" windowHeight="12456" xr2:uid="{12987E8F-1EAF-4A4F-8DD8-05095E080243}"/>
  </bookViews>
  <sheets>
    <sheet name="Sheet1" sheetId="1" r:id="rId1"/>
  </sheets>
  <definedNames>
    <definedName name="_xlnm.Print_Area" localSheetId="0">Sheet1!$A$2:$P$66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1" i="1" l="1"/>
  <c r="J60" i="1"/>
  <c r="G61" i="1"/>
  <c r="G60" i="1"/>
  <c r="L61" i="1"/>
  <c r="I61" i="1"/>
  <c r="K61" i="1" s="1"/>
  <c r="F61" i="1"/>
  <c r="H61" i="1" s="1"/>
  <c r="L60" i="1"/>
  <c r="I60" i="1"/>
  <c r="K60" i="1" s="1"/>
  <c r="H60" i="1"/>
  <c r="F60" i="1"/>
  <c r="I54" i="1"/>
  <c r="F54" i="1"/>
  <c r="H54" i="1" s="1"/>
  <c r="W46" i="1"/>
  <c r="I49" i="1" s="1"/>
  <c r="W43" i="1"/>
  <c r="I48" i="1" s="1"/>
  <c r="K48" i="1" s="1"/>
  <c r="F39" i="1"/>
  <c r="F40" i="1"/>
  <c r="F41" i="1"/>
  <c r="F38" i="1"/>
  <c r="J31" i="1"/>
  <c r="J39" i="1" s="1"/>
  <c r="J32" i="1"/>
  <c r="J40" i="1" s="1"/>
  <c r="J33" i="1"/>
  <c r="J41" i="1" s="1"/>
  <c r="J30" i="1"/>
  <c r="J38" i="1" s="1"/>
  <c r="G31" i="1"/>
  <c r="G39" i="1" s="1"/>
  <c r="G32" i="1"/>
  <c r="G40" i="1" s="1"/>
  <c r="G33" i="1"/>
  <c r="G41" i="1" s="1"/>
  <c r="G30" i="1"/>
  <c r="G38" i="1" s="1"/>
  <c r="F31" i="1"/>
  <c r="F32" i="1"/>
  <c r="F33" i="1"/>
  <c r="F30" i="1"/>
  <c r="J20" i="1"/>
  <c r="K39" i="1" s="1"/>
  <c r="J21" i="1"/>
  <c r="K40" i="1" s="1"/>
  <c r="J22" i="1"/>
  <c r="K41" i="1" s="1"/>
  <c r="J19" i="1"/>
  <c r="K38" i="1" s="1"/>
  <c r="G20" i="1"/>
  <c r="H39" i="1" s="1"/>
  <c r="G21" i="1"/>
  <c r="H40" i="1" s="1"/>
  <c r="G22" i="1"/>
  <c r="H41" i="1" s="1"/>
  <c r="G19" i="1"/>
  <c r="H38" i="1" s="1"/>
  <c r="F22" i="1"/>
  <c r="F21" i="1"/>
  <c r="F20" i="1"/>
  <c r="F19" i="1"/>
  <c r="U25" i="1"/>
  <c r="U28" i="1"/>
  <c r="U29" i="1"/>
  <c r="U24" i="1"/>
  <c r="T29" i="1"/>
  <c r="T28" i="1"/>
  <c r="T25" i="1"/>
  <c r="T24" i="1"/>
  <c r="X29" i="1"/>
  <c r="X28" i="1"/>
  <c r="X25" i="1"/>
  <c r="X24" i="1"/>
  <c r="J14" i="1"/>
  <c r="K33" i="1" s="1"/>
  <c r="J13" i="1"/>
  <c r="K32" i="1" s="1"/>
  <c r="L32" i="1" s="1"/>
  <c r="J11" i="1"/>
  <c r="K30" i="1" s="1"/>
  <c r="J12" i="1"/>
  <c r="K31" i="1" s="1"/>
  <c r="G13" i="1"/>
  <c r="H32" i="1" s="1"/>
  <c r="G14" i="1"/>
  <c r="H33" i="1" s="1"/>
  <c r="F14" i="1"/>
  <c r="F13" i="1"/>
  <c r="F12" i="1"/>
  <c r="G12" i="1"/>
  <c r="H31" i="1" s="1"/>
  <c r="G11" i="1"/>
  <c r="H30" i="1" s="1"/>
  <c r="F11" i="1"/>
  <c r="Y12" i="1"/>
  <c r="Z12" i="1" s="1"/>
  <c r="AA12" i="1"/>
  <c r="AB12" i="1" s="1"/>
  <c r="AA18" i="1"/>
  <c r="AB18" i="1" s="1"/>
  <c r="Y18" i="1"/>
  <c r="Z18" i="1" s="1"/>
  <c r="AA17" i="1"/>
  <c r="AB17" i="1" s="1"/>
  <c r="Y17" i="1"/>
  <c r="Z17" i="1" s="1"/>
  <c r="AA16" i="1"/>
  <c r="AB16" i="1" s="1"/>
  <c r="Y16" i="1"/>
  <c r="Z16" i="1" s="1"/>
  <c r="AA14" i="1"/>
  <c r="AB14" i="1" s="1"/>
  <c r="Y14" i="1"/>
  <c r="Z14" i="1" s="1"/>
  <c r="AA13" i="1"/>
  <c r="AB13" i="1" s="1"/>
  <c r="Y13" i="1"/>
  <c r="Z13" i="1" s="1"/>
  <c r="F55" i="1" l="1"/>
  <c r="H55" i="1" s="1"/>
  <c r="I55" i="1"/>
  <c r="K55" i="1" s="1"/>
  <c r="K54" i="1"/>
  <c r="F48" i="1"/>
  <c r="K49" i="1"/>
  <c r="J49" i="1"/>
  <c r="J55" i="1" s="1"/>
  <c r="J48" i="1"/>
  <c r="J54" i="1" s="1"/>
  <c r="F49" i="1"/>
  <c r="L30" i="1"/>
  <c r="I30" i="1"/>
  <c r="I32" i="1"/>
  <c r="L31" i="1"/>
  <c r="I39" i="1"/>
  <c r="I31" i="1"/>
  <c r="L39" i="1"/>
  <c r="L33" i="1"/>
  <c r="L38" i="1"/>
  <c r="I33" i="1"/>
  <c r="I38" i="1"/>
  <c r="I41" i="1"/>
  <c r="I40" i="1"/>
  <c r="L40" i="1"/>
  <c r="L41" i="1"/>
  <c r="I22" i="1"/>
  <c r="I20" i="1"/>
  <c r="I19" i="1"/>
  <c r="I21" i="1"/>
  <c r="L11" i="1"/>
  <c r="L22" i="1"/>
  <c r="W29" i="1"/>
  <c r="W25" i="1"/>
  <c r="Z24" i="1"/>
  <c r="L19" i="1"/>
  <c r="Z25" i="1"/>
  <c r="W24" i="1"/>
  <c r="Z28" i="1"/>
  <c r="L21" i="1"/>
  <c r="W28" i="1"/>
  <c r="Z29" i="1"/>
  <c r="L20" i="1"/>
  <c r="I14" i="1"/>
  <c r="L13" i="1"/>
  <c r="I12" i="1"/>
  <c r="L12" i="1"/>
  <c r="L14" i="1"/>
  <c r="I11" i="1"/>
  <c r="I13" i="1"/>
  <c r="G48" i="1" l="1"/>
  <c r="G54" i="1" s="1"/>
  <c r="L54" i="1" s="1"/>
  <c r="H48" i="1"/>
  <c r="L48" i="1" s="1"/>
  <c r="H49" i="1"/>
  <c r="G49" i="1"/>
  <c r="G55" i="1" s="1"/>
  <c r="L55" i="1" s="1"/>
  <c r="L49" i="1"/>
</calcChain>
</file>

<file path=xl/sharedStrings.xml><?xml version="1.0" encoding="utf-8"?>
<sst xmlns="http://schemas.openxmlformats.org/spreadsheetml/2006/main" count="155" uniqueCount="63">
  <si>
    <t>ตารางที่ 1.1  หน่วย CFM (Imperial Unit)</t>
  </si>
  <si>
    <t>ขนาดและพื้นที่</t>
  </si>
  <si>
    <t>W (m)</t>
  </si>
  <si>
    <t>A (ft²)</t>
  </si>
  <si>
    <t>จำนวน</t>
  </si>
  <si>
    <t>V จริง
(ft/min)</t>
  </si>
  <si>
    <t>ตารางที่ 1.2  หน่วย SI Unit (Metric)</t>
  </si>
  <si>
    <t>ปริมาณลมที่ต้องการ
(m³/hr)</t>
  </si>
  <si>
    <t>A (m²)</t>
  </si>
  <si>
    <t>V จริง
(m/s)</t>
  </si>
  <si>
    <t>โรงเรือน</t>
  </si>
  <si>
    <t>ขนาดโรงเรือน</t>
  </si>
  <si>
    <t>ตารางที่ 2.2  หน่วย SI Unit (Metric)</t>
  </si>
  <si>
    <t>ตารางที่ 1  จำนวนพัดลมที่ต้องใช้และความเร็วลมจริง  จำแนกตามขนาดหน้ากว้างโรงเรือน</t>
  </si>
  <si>
    <t>ตารางที่ 2  การคำนวณความเร็วลมหน้า Cooling Pad</t>
  </si>
  <si>
    <t>บริษัท เค.เอส.พี. อุปกรณ์ จำกัด</t>
  </si>
  <si>
    <t>ตารางที่ 2.1  หน่วย CFM (Imperial Unit)</t>
  </si>
  <si>
    <t>ความกว้าง
(m)</t>
  </si>
  <si>
    <t>ความยาว
(m)</t>
  </si>
  <si>
    <t>พื้นที่ Cooling Pad
(ft²)</t>
  </si>
  <si>
    <t>จำนวนพัดลม
(ตัว)</t>
  </si>
  <si>
    <t>ปริมาณลมรวม
(CFM)</t>
  </si>
  <si>
    <t>ความเร็วลมหน้า Pad
(ft/min)</t>
  </si>
  <si>
    <t>พื้นที่ Cooling Pad
(m²)</t>
  </si>
  <si>
    <t>ความเร็วลมหน้า Pad
(m/s)</t>
  </si>
  <si>
    <t xml:space="preserve">สำนักงานใหญ่ : 51/845 หมู่ 3 ต.ลำไทร อ.วังน้อย จ.พระนครศรีอยุธยา 13170 </t>
  </si>
  <si>
    <t>SI UNIT</t>
  </si>
  <si>
    <t>CFM unit</t>
  </si>
  <si>
    <t>EC Fan 50"</t>
  </si>
  <si>
    <t xml:space="preserve">EC Fan 50" </t>
  </si>
  <si>
    <t>EC Fan 50"
(49,900 m³/hr @ 62 Pa)</t>
  </si>
  <si>
    <t>EC Fan 50"
(29,400 CFM @ 0.25 inH₂O)</t>
  </si>
  <si>
    <t>AC Fan 50"
(28,900 CFM @ 0.25 inH₂O)</t>
  </si>
  <si>
    <t>AC Fan 50"
(49,000m³/hr @ 62 Pa)</t>
  </si>
  <si>
    <t>AC Fan 50"</t>
  </si>
  <si>
    <t>PS1</t>
  </si>
  <si>
    <r>
      <t>1</t>
    </r>
    <r>
      <rPr>
        <vertAlign val="superscript"/>
        <sz val="11"/>
        <color theme="1"/>
        <rFont val="Calibri"/>
        <family val="2"/>
        <scheme val="minor"/>
      </rPr>
      <t>st</t>
    </r>
    <r>
      <rPr>
        <sz val="11"/>
        <color theme="1"/>
        <rFont val="Calibri"/>
        <family val="2"/>
        <scheme val="minor"/>
      </rPr>
      <t xml:space="preserve"> Floor</t>
    </r>
  </si>
  <si>
    <r>
      <t>2</t>
    </r>
    <r>
      <rPr>
        <vertAlign val="superscript"/>
        <sz val="11"/>
        <color theme="1"/>
        <rFont val="Calibri"/>
        <family val="2"/>
        <scheme val="minor"/>
      </rPr>
      <t xml:space="preserve">nd </t>
    </r>
    <r>
      <rPr>
        <sz val="11"/>
        <color theme="1"/>
        <rFont val="Calibri"/>
        <family val="2"/>
        <scheme val="minor"/>
      </rPr>
      <t>Floor</t>
    </r>
  </si>
  <si>
    <t>PS2</t>
  </si>
  <si>
    <t>(เปรียบเทียบพัดลม 2 รุ่น,ความเร็วลมเป้าหมาย 3.50 m/s โรงเรือน 2 รูปแบบได้แก่ โรงเรือน PS1,PS2)</t>
  </si>
  <si>
    <t>50 ac</t>
  </si>
  <si>
    <t>ปริมาณลมที่จริง(CFM)</t>
  </si>
  <si>
    <t xml:space="preserve">AC Fan 50" </t>
  </si>
  <si>
    <t>AC Fan 50"
(49,000 m³/hr @ 62 Pa)</t>
  </si>
  <si>
    <t>ปริมาณลมที่รวม (m³/hr)</t>
  </si>
  <si>
    <t>(เปรียบเทียบพัดลม EC Fan 50" และ AC Fan 50"  — ความสูง Cooling Pad 1.8 m)</t>
  </si>
  <si>
    <t>ตารางที่ 3  การคำนวณความเร็วลมหน้า Cooling Pad</t>
  </si>
  <si>
    <t>รายการ</t>
  </si>
  <si>
    <t>กำลังไฟต่อตัว (W/ตัว)</t>
  </si>
  <si>
    <t>Airflow ต่อตัว (CFM/ตัว)</t>
  </si>
  <si>
    <t>Airflow ต่อตัว (m³/hr/ตัว)</t>
  </si>
  <si>
    <t>INPUT — เงื่อนไขการใช้งาน</t>
  </si>
  <si>
    <t>ชั่วโมงใช้งานต่อวัน (ชม.)</t>
  </si>
  <si>
    <t>วันต่อเดือน (วัน)</t>
  </si>
  <si>
    <t>วันต่อปี (วัน)</t>
  </si>
  <si>
    <t>จำนวนพัดลม PS1 ต่อชั้น</t>
  </si>
  <si>
    <t>จำนวนพัดลม PS2 ต่อชั้น</t>
  </si>
  <si>
    <t>CFM/WATT</t>
  </si>
  <si>
    <t>Difference (CFM/W) AC-EC</t>
  </si>
  <si>
    <t>kW</t>
  </si>
  <si>
    <t xml:space="preserve">CFM/W </t>
  </si>
  <si>
    <t>kWh/วัน</t>
  </si>
  <si>
    <t>kWh/เดือน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</si>
</sst>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10"/>
      <color rgb="FF59595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9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</fills>
  <borders count="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" fillId="0" borderId="0"/>
  </cellStyleXfs>
  <cellXfs count="76">
    <xf numFmtId="0" fontId="0" fillId="0" borderId="0" xfId="0"/>
    <xf numFmtId="0" fontId="2" fillId="0" borderId="3" xfId="1" applyFont="1" applyBorder="1" applyAlignment="1">
      <alignment horizontal="center" vertical="center" wrapText="1"/>
    </xf>
    <xf numFmtId="1" fontId="3" fillId="0" borderId="0" xfId="1" applyNumberFormat="1" applyFont="1" applyAlignment="1">
      <alignment horizontal="center" vertical="center"/>
    </xf>
    <xf numFmtId="1" fontId="2" fillId="0" borderId="0" xfId="1" applyNumberFormat="1" applyFont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1" fontId="3" fillId="0" borderId="4" xfId="1" applyNumberFormat="1" applyFont="1" applyBorder="1" applyAlignment="1">
      <alignment horizontal="center" vertical="center"/>
    </xf>
    <xf numFmtId="3" fontId="3" fillId="0" borderId="0" xfId="1" applyNumberFormat="1" applyFont="1" applyAlignment="1">
      <alignment horizontal="center" vertical="center"/>
    </xf>
    <xf numFmtId="3" fontId="3" fillId="0" borderId="4" xfId="1" applyNumberFormat="1" applyFont="1" applyBorder="1" applyAlignment="1">
      <alignment horizontal="center" vertical="center"/>
    </xf>
    <xf numFmtId="164" fontId="3" fillId="0" borderId="4" xfId="1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8" fillId="0" borderId="0" xfId="0" applyFont="1"/>
    <xf numFmtId="0" fontId="0" fillId="0" borderId="0" xfId="1" applyFont="1"/>
    <xf numFmtId="0" fontId="2" fillId="0" borderId="3" xfId="0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3" fontId="2" fillId="0" borderId="4" xfId="1" applyNumberFormat="1" applyFont="1" applyBorder="1" applyAlignment="1">
      <alignment horizontal="center" vertical="center"/>
    </xf>
    <xf numFmtId="4" fontId="3" fillId="0" borderId="4" xfId="1" applyNumberFormat="1" applyFont="1" applyBorder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3" fontId="2" fillId="0" borderId="0" xfId="1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/>
    <xf numFmtId="4" fontId="3" fillId="0" borderId="0" xfId="1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4" fontId="2" fillId="0" borderId="4" xfId="1" applyNumberFormat="1" applyFont="1" applyBorder="1" applyAlignment="1">
      <alignment horizontal="center" vertical="center"/>
    </xf>
    <xf numFmtId="2" fontId="2" fillId="0" borderId="4" xfId="1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3" fillId="0" borderId="0" xfId="1" applyFont="1"/>
    <xf numFmtId="0" fontId="2" fillId="0" borderId="0" xfId="1" applyFont="1" applyAlignment="1">
      <alignment vertical="center" wrapText="1"/>
    </xf>
    <xf numFmtId="0" fontId="13" fillId="0" borderId="6" xfId="0" applyFont="1" applyBorder="1"/>
    <xf numFmtId="3" fontId="14" fillId="3" borderId="6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1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3" fontId="0" fillId="0" borderId="0" xfId="0" applyNumberFormat="1" applyAlignment="1">
      <alignment horizontal="center" vertical="center"/>
    </xf>
    <xf numFmtId="0" fontId="5" fillId="0" borderId="0" xfId="1" applyFont="1" applyAlignment="1">
      <alignment vertical="center"/>
    </xf>
    <xf numFmtId="4" fontId="14" fillId="3" borderId="6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5" fillId="0" borderId="0" xfId="0" applyFont="1" applyAlignment="1">
      <alignment horizontal="center" vertical="center"/>
    </xf>
    <xf numFmtId="1" fontId="2" fillId="0" borderId="4" xfId="1" applyNumberFormat="1" applyFont="1" applyBorder="1" applyAlignment="1">
      <alignment horizontal="center" vertical="center"/>
    </xf>
    <xf numFmtId="0" fontId="15" fillId="0" borderId="0" xfId="0" applyFont="1"/>
    <xf numFmtId="1" fontId="3" fillId="0" borderId="4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5" fillId="0" borderId="4" xfId="1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2" fillId="0" borderId="0" xfId="1" applyFont="1" applyAlignment="1">
      <alignment horizontal="center" vertical="center" wrapText="1"/>
    </xf>
    <xf numFmtId="1" fontId="3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5" fillId="0" borderId="0" xfId="1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2" fontId="11" fillId="0" borderId="0" xfId="0" applyNumberFormat="1" applyFont="1" applyAlignment="1">
      <alignment horizontal="center" vertical="center"/>
    </xf>
    <xf numFmtId="165" fontId="2" fillId="0" borderId="4" xfId="1" applyNumberFormat="1" applyFont="1" applyBorder="1" applyAlignment="1">
      <alignment horizontal="center" vertical="center"/>
    </xf>
    <xf numFmtId="2" fontId="16" fillId="0" borderId="4" xfId="1" applyNumberFormat="1" applyFont="1" applyBorder="1" applyAlignment="1">
      <alignment horizontal="center" vertical="center"/>
    </xf>
    <xf numFmtId="2" fontId="17" fillId="0" borderId="4" xfId="1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346077</xdr:colOff>
      <xdr:row>6</xdr:row>
      <xdr:rowOff>19050</xdr:rowOff>
    </xdr:from>
    <xdr:to>
      <xdr:col>24</xdr:col>
      <xdr:colOff>418019</xdr:colOff>
      <xdr:row>8</xdr:row>
      <xdr:rowOff>157748</xdr:rowOff>
    </xdr:to>
    <xdr:pic>
      <xdr:nvPicPr>
        <xdr:cNvPr id="2" name="Picture 1" descr="บริษัท เค.เอส.พี. อุปกรณ์ จํากัด (โรงงานวังน้อย) ผลิต จัดจำหน่าย และส่งออก  สินค้าและเทคโนโลยีด้านอุปกรณ์การเลี้ยงสัตว์ อุปกรณ์การเกษตร  สำหรับกลุ่มเกษตรอุตสาหกรรม">
          <a:extLst>
            <a:ext uri="{FF2B5EF4-FFF2-40B4-BE49-F238E27FC236}">
              <a16:creationId xmlns:a16="http://schemas.microsoft.com/office/drawing/2014/main" id="{06ABC82E-27C1-4FBC-A4EF-5D29ADAB9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19202" y="1257300"/>
          <a:ext cx="681542" cy="5292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A847-4F71-4594-A016-54169E63ADEE}">
  <dimension ref="B2:AC74"/>
  <sheetViews>
    <sheetView tabSelected="1" topLeftCell="A41" zoomScaleNormal="100" zoomScaleSheetLayoutView="70" workbookViewId="0">
      <selection activeCell="P48" sqref="P48"/>
    </sheetView>
  </sheetViews>
  <sheetFormatPr defaultColWidth="9.109375" defaultRowHeight="14.4" x14ac:dyDescent="0.3"/>
  <cols>
    <col min="2" max="2" width="8.77734375" customWidth="1"/>
    <col min="3" max="3" width="9.109375" customWidth="1"/>
    <col min="7" max="7" width="13.33203125" customWidth="1"/>
    <col min="8" max="8" width="11" bestFit="1" customWidth="1"/>
    <col min="9" max="10" width="13.33203125" customWidth="1"/>
    <col min="11" max="11" width="11" customWidth="1"/>
    <col min="12" max="12" width="13.33203125" customWidth="1"/>
    <col min="13" max="14" width="8.77734375" customWidth="1"/>
    <col min="15" max="15" width="9.6640625" customWidth="1"/>
    <col min="18" max="18" width="24.44140625" bestFit="1" customWidth="1"/>
    <col min="19" max="20" width="12.44140625" bestFit="1" customWidth="1"/>
    <col min="22" max="22" width="24.109375" bestFit="1" customWidth="1"/>
    <col min="25" max="25" width="24.109375" bestFit="1" customWidth="1"/>
    <col min="26" max="26" width="7.21875" bestFit="1" customWidth="1"/>
  </cols>
  <sheetData>
    <row r="2" spans="3:28" ht="18" x14ac:dyDescent="0.35">
      <c r="C2" s="17"/>
      <c r="D2" s="66" t="s">
        <v>15</v>
      </c>
      <c r="E2" s="66"/>
      <c r="F2" s="66"/>
      <c r="G2" s="66"/>
      <c r="H2" s="66"/>
      <c r="I2" s="66"/>
      <c r="J2" s="66"/>
      <c r="K2" s="66"/>
      <c r="L2" s="66"/>
      <c r="M2" s="17"/>
      <c r="N2" s="17"/>
      <c r="O2" s="11"/>
    </row>
    <row r="3" spans="3:28" ht="18" x14ac:dyDescent="0.3">
      <c r="C3" s="60" t="s">
        <v>25</v>
      </c>
      <c r="D3" s="60"/>
      <c r="E3" s="60"/>
      <c r="F3" s="60"/>
      <c r="G3" s="60"/>
      <c r="H3" s="60"/>
      <c r="I3" s="60"/>
      <c r="J3" s="60"/>
      <c r="K3" s="60"/>
      <c r="L3" s="60"/>
      <c r="M3" s="60"/>
      <c r="N3" s="31"/>
      <c r="O3" s="11"/>
    </row>
    <row r="5" spans="3:28" x14ac:dyDescent="0.3">
      <c r="D5" s="9" t="s">
        <v>13</v>
      </c>
    </row>
    <row r="6" spans="3:28" x14ac:dyDescent="0.3">
      <c r="D6" s="18" t="s">
        <v>39</v>
      </c>
      <c r="Q6">
        <v>50</v>
      </c>
      <c r="R6" t="s">
        <v>40</v>
      </c>
      <c r="T6" s="61" t="s">
        <v>27</v>
      </c>
      <c r="U6" s="61"/>
    </row>
    <row r="7" spans="3:28" x14ac:dyDescent="0.3">
      <c r="D7" s="10"/>
      <c r="P7">
        <v>0.25</v>
      </c>
      <c r="Q7">
        <v>29400</v>
      </c>
      <c r="R7" s="25">
        <v>28900</v>
      </c>
    </row>
    <row r="8" spans="3:28" ht="15" thickBot="1" x14ac:dyDescent="0.35">
      <c r="E8" s="59" t="s">
        <v>0</v>
      </c>
      <c r="F8" s="59"/>
      <c r="G8" s="59"/>
      <c r="H8" s="59"/>
      <c r="I8" s="59"/>
      <c r="J8" s="59"/>
      <c r="K8" s="59"/>
      <c r="L8" s="59"/>
    </row>
    <row r="9" spans="3:28" ht="27.6" customHeight="1" x14ac:dyDescent="0.3">
      <c r="C9" s="56" t="s">
        <v>10</v>
      </c>
      <c r="D9" s="56"/>
      <c r="E9" s="62" t="s">
        <v>1</v>
      </c>
      <c r="F9" s="62"/>
      <c r="G9" s="56" t="s">
        <v>31</v>
      </c>
      <c r="H9" s="56"/>
      <c r="I9" s="56"/>
      <c r="J9" s="56" t="s">
        <v>32</v>
      </c>
      <c r="K9" s="56"/>
      <c r="L9" s="56"/>
      <c r="P9">
        <v>62</v>
      </c>
      <c r="Q9">
        <v>49900</v>
      </c>
      <c r="R9">
        <v>49000</v>
      </c>
      <c r="T9" s="61" t="s">
        <v>26</v>
      </c>
      <c r="U9" s="61"/>
    </row>
    <row r="10" spans="3:28" ht="27.6" x14ac:dyDescent="0.3">
      <c r="C10" s="57"/>
      <c r="D10" s="57"/>
      <c r="E10" s="1" t="s">
        <v>2</v>
      </c>
      <c r="F10" s="1" t="s">
        <v>3</v>
      </c>
      <c r="G10" s="1" t="s">
        <v>41</v>
      </c>
      <c r="H10" s="1" t="s">
        <v>4</v>
      </c>
      <c r="I10" s="1" t="s">
        <v>5</v>
      </c>
      <c r="J10" s="1" t="s">
        <v>41</v>
      </c>
      <c r="K10" s="1" t="s">
        <v>4</v>
      </c>
      <c r="L10" s="1" t="s">
        <v>5</v>
      </c>
    </row>
    <row r="11" spans="3:28" ht="15" customHeight="1" x14ac:dyDescent="0.3">
      <c r="C11" s="64" t="s">
        <v>35</v>
      </c>
      <c r="D11" s="24" t="s">
        <v>36</v>
      </c>
      <c r="E11" s="2">
        <v>14</v>
      </c>
      <c r="F11" s="16">
        <f>14*2.05*10.764</f>
        <v>308.92679999999996</v>
      </c>
      <c r="G11" s="6">
        <f>H11*$Q$7</f>
        <v>235200</v>
      </c>
      <c r="H11" s="22">
        <v>8</v>
      </c>
      <c r="I11" s="6">
        <f>G11/F11</f>
        <v>761.34540609620149</v>
      </c>
      <c r="J11" s="6">
        <f>R7*$K$11</f>
        <v>231200</v>
      </c>
      <c r="K11" s="22">
        <v>8</v>
      </c>
      <c r="L11" s="6">
        <f>J11/F11</f>
        <v>748.39735497211643</v>
      </c>
    </row>
    <row r="12" spans="3:28" ht="16.2" x14ac:dyDescent="0.3">
      <c r="C12" s="64"/>
      <c r="D12" s="24" t="s">
        <v>37</v>
      </c>
      <c r="E12" s="2">
        <v>14</v>
      </c>
      <c r="F12" s="16">
        <f>14*2.2*10.764</f>
        <v>331.53120000000001</v>
      </c>
      <c r="G12" s="6">
        <f>H12*$Q$7</f>
        <v>235200</v>
      </c>
      <c r="H12" s="22">
        <v>8</v>
      </c>
      <c r="I12" s="6">
        <f t="shared" ref="I12:I14" si="0">G12/F12</f>
        <v>709.43549204418764</v>
      </c>
      <c r="J12" s="6">
        <f>R7*$K$12</f>
        <v>231200</v>
      </c>
      <c r="K12" s="22">
        <v>8</v>
      </c>
      <c r="L12" s="6">
        <f t="shared" ref="L12:L14" si="1">J12/F12</f>
        <v>697.37026258765388</v>
      </c>
      <c r="V12" s="2">
        <v>16</v>
      </c>
      <c r="W12" s="16">
        <v>396.11151999999993</v>
      </c>
      <c r="X12" s="6">
        <v>272910.93449199997</v>
      </c>
      <c r="Y12" s="3">
        <f t="shared" ref="Y12:Y17" si="2">ROUNDUP(X12/$Q$7,0)</f>
        <v>10</v>
      </c>
      <c r="Z12" s="6">
        <f t="shared" ref="Z12:Z17" si="3">(Y12*$Q$7)/W12</f>
        <v>742.21522262215467</v>
      </c>
      <c r="AA12" s="3">
        <f t="shared" ref="AA12:AA13" si="4">ROUNDUP(X12/$R$7,0)</f>
        <v>10</v>
      </c>
      <c r="AB12" s="6">
        <f t="shared" ref="AB12:AB17" si="5">(AA12*$R$7)/W12</f>
        <v>729.59251475443091</v>
      </c>
    </row>
    <row r="13" spans="3:28" ht="16.2" x14ac:dyDescent="0.3">
      <c r="C13" s="63" t="s">
        <v>38</v>
      </c>
      <c r="D13" s="2" t="s">
        <v>36</v>
      </c>
      <c r="E13" s="2">
        <v>14</v>
      </c>
      <c r="F13" s="16">
        <f>14*2.16*10.764</f>
        <v>325.50335999999999</v>
      </c>
      <c r="G13" s="6">
        <f>H13*$Q$7</f>
        <v>294000</v>
      </c>
      <c r="H13" s="22">
        <v>10</v>
      </c>
      <c r="I13" s="6">
        <f t="shared" si="0"/>
        <v>903.21648292662792</v>
      </c>
      <c r="J13" s="6">
        <f>K13*$R$7</f>
        <v>289000</v>
      </c>
      <c r="K13" s="22">
        <v>10</v>
      </c>
      <c r="L13" s="6">
        <f t="shared" si="1"/>
        <v>887.85565838705941</v>
      </c>
      <c r="V13" s="2">
        <v>17</v>
      </c>
      <c r="W13" s="16">
        <v>420.86848999999989</v>
      </c>
      <c r="X13" s="6">
        <v>289967.86789774994</v>
      </c>
      <c r="Y13" s="3">
        <f t="shared" si="2"/>
        <v>10</v>
      </c>
      <c r="Z13" s="6">
        <f t="shared" si="3"/>
        <v>698.55550364438091</v>
      </c>
      <c r="AA13" s="3">
        <f t="shared" si="4"/>
        <v>11</v>
      </c>
      <c r="AB13" s="6">
        <f t="shared" si="5"/>
        <v>755.34283880458736</v>
      </c>
    </row>
    <row r="14" spans="3:28" ht="16.8" thickBot="1" x14ac:dyDescent="0.35">
      <c r="C14" s="55"/>
      <c r="D14" s="5" t="s">
        <v>37</v>
      </c>
      <c r="E14" s="5">
        <v>14</v>
      </c>
      <c r="F14" s="8">
        <f>14*2.25*10.764</f>
        <v>339.06599999999997</v>
      </c>
      <c r="G14" s="7">
        <f>H14*$Q$7</f>
        <v>294000</v>
      </c>
      <c r="H14" s="19">
        <v>10</v>
      </c>
      <c r="I14" s="8">
        <f t="shared" si="0"/>
        <v>867.08782360956286</v>
      </c>
      <c r="J14" s="7">
        <f>K14*$R$7</f>
        <v>289000</v>
      </c>
      <c r="K14" s="19">
        <v>10</v>
      </c>
      <c r="L14" s="8">
        <f t="shared" si="1"/>
        <v>852.34143205157704</v>
      </c>
      <c r="V14" s="2">
        <v>24</v>
      </c>
      <c r="W14" s="16">
        <v>594.16727999999989</v>
      </c>
      <c r="X14" s="6">
        <v>409366.40173799993</v>
      </c>
      <c r="Y14" s="3">
        <f t="shared" si="2"/>
        <v>14</v>
      </c>
      <c r="Z14" s="6">
        <f t="shared" si="3"/>
        <v>692.73420778067759</v>
      </c>
      <c r="AA14" s="3">
        <f>ROUNDUP(X14/$R$7,0)</f>
        <v>15</v>
      </c>
      <c r="AB14" s="6">
        <f t="shared" si="5"/>
        <v>729.59251475443091</v>
      </c>
    </row>
    <row r="15" spans="3:28" ht="14.55" customHeight="1" x14ac:dyDescent="0.3">
      <c r="E15" s="12"/>
      <c r="F15" s="12"/>
      <c r="G15" s="12"/>
      <c r="H15" s="12"/>
      <c r="I15" s="12"/>
      <c r="J15" s="12"/>
      <c r="K15" s="12"/>
      <c r="L15" s="12"/>
      <c r="V15" s="2"/>
      <c r="W15" s="16"/>
      <c r="X15" s="6"/>
      <c r="Y15" s="3"/>
      <c r="Z15" s="6"/>
      <c r="AA15" s="3"/>
      <c r="AB15" s="6"/>
    </row>
    <row r="16" spans="3:28" ht="15" thickBot="1" x14ac:dyDescent="0.35">
      <c r="E16" s="59" t="s">
        <v>6</v>
      </c>
      <c r="F16" s="59"/>
      <c r="G16" s="59"/>
      <c r="H16" s="59"/>
      <c r="I16" s="59"/>
      <c r="J16" s="59"/>
      <c r="K16" s="59"/>
      <c r="L16" s="59"/>
      <c r="V16" s="2">
        <v>25</v>
      </c>
      <c r="W16" s="16">
        <v>618.92424999999992</v>
      </c>
      <c r="X16" s="6">
        <v>426423.33514374995</v>
      </c>
      <c r="Y16" s="3">
        <f t="shared" si="2"/>
        <v>15</v>
      </c>
      <c r="Z16" s="6">
        <f t="shared" si="3"/>
        <v>712.52661371726845</v>
      </c>
      <c r="AA16" s="3">
        <f t="shared" ref="AA16:AA17" si="6">ROUNDUP(X16/$R$7,0)</f>
        <v>15</v>
      </c>
      <c r="AB16" s="6">
        <f t="shared" si="5"/>
        <v>700.40881416425361</v>
      </c>
    </row>
    <row r="17" spans="2:28" ht="27.6" customHeight="1" x14ac:dyDescent="0.3">
      <c r="C17" s="56" t="s">
        <v>10</v>
      </c>
      <c r="D17" s="56"/>
      <c r="E17" s="62" t="s">
        <v>1</v>
      </c>
      <c r="F17" s="62"/>
      <c r="G17" s="56" t="s">
        <v>30</v>
      </c>
      <c r="H17" s="56"/>
      <c r="I17" s="56"/>
      <c r="J17" s="56" t="s">
        <v>43</v>
      </c>
      <c r="K17" s="56"/>
      <c r="L17" s="56"/>
      <c r="V17" s="2">
        <v>26</v>
      </c>
      <c r="W17" s="16">
        <v>643.68121999999994</v>
      </c>
      <c r="X17" s="6">
        <v>443480.26854949998</v>
      </c>
      <c r="Y17" s="3">
        <f t="shared" si="2"/>
        <v>16</v>
      </c>
      <c r="Z17" s="6">
        <f t="shared" si="3"/>
        <v>730.79652688950603</v>
      </c>
      <c r="AA17" s="3">
        <f t="shared" si="6"/>
        <v>16</v>
      </c>
      <c r="AB17" s="6">
        <f t="shared" si="5"/>
        <v>718.36801452743964</v>
      </c>
    </row>
    <row r="18" spans="2:28" ht="27.6" x14ac:dyDescent="0.3">
      <c r="C18" s="57"/>
      <c r="D18" s="57"/>
      <c r="E18" s="1" t="s">
        <v>2</v>
      </c>
      <c r="F18" s="1" t="s">
        <v>3</v>
      </c>
      <c r="G18" s="1" t="s">
        <v>44</v>
      </c>
      <c r="H18" s="1" t="s">
        <v>4</v>
      </c>
      <c r="I18" s="1" t="s">
        <v>9</v>
      </c>
      <c r="J18" s="1" t="s">
        <v>44</v>
      </c>
      <c r="K18" s="1" t="s">
        <v>4</v>
      </c>
      <c r="L18" s="1" t="s">
        <v>9</v>
      </c>
      <c r="V18" s="2">
        <v>31</v>
      </c>
      <c r="W18" s="16">
        <v>767.46606999999995</v>
      </c>
      <c r="X18" s="6">
        <v>528764.93557824998</v>
      </c>
      <c r="Y18" s="3" t="e">
        <f>ROUNDUP(X18/$Q$8,0)</f>
        <v>#DIV/0!</v>
      </c>
      <c r="Z18" s="6" t="e">
        <f>(Y18*$Q$8)/W18</f>
        <v>#DIV/0!</v>
      </c>
      <c r="AA18" s="3" t="e">
        <f>ROUNDUP(X18/$R$8,0)</f>
        <v>#DIV/0!</v>
      </c>
      <c r="AB18" s="6" t="e">
        <f>(AA18*$R$8)/W18</f>
        <v>#DIV/0!</v>
      </c>
    </row>
    <row r="19" spans="2:28" ht="16.2" x14ac:dyDescent="0.3">
      <c r="C19" s="64" t="s">
        <v>35</v>
      </c>
      <c r="D19" s="24" t="s">
        <v>36</v>
      </c>
      <c r="E19" s="2">
        <v>14</v>
      </c>
      <c r="F19" s="16">
        <f>14*2.05</f>
        <v>28.699999999999996</v>
      </c>
      <c r="G19" s="6">
        <f>H19*$Q$9</f>
        <v>399200</v>
      </c>
      <c r="H19" s="22">
        <v>8</v>
      </c>
      <c r="I19" s="26">
        <f>G19/(F19*3600)</f>
        <v>3.8637243515292301</v>
      </c>
      <c r="J19" s="6">
        <f>$R$9*K19</f>
        <v>392000</v>
      </c>
      <c r="K19" s="22">
        <v>8</v>
      </c>
      <c r="L19" s="26">
        <f>J19/(F19*3600)</f>
        <v>3.7940379403794044</v>
      </c>
    </row>
    <row r="20" spans="2:28" ht="16.2" x14ac:dyDescent="0.3">
      <c r="C20" s="64"/>
      <c r="D20" s="24" t="s">
        <v>37</v>
      </c>
      <c r="E20" s="2">
        <v>14</v>
      </c>
      <c r="F20" s="16">
        <f>14*2.2</f>
        <v>30.800000000000004</v>
      </c>
      <c r="G20" s="6">
        <f t="shared" ref="G20:G22" si="7">H20*$Q$9</f>
        <v>399200</v>
      </c>
      <c r="H20" s="22">
        <v>8</v>
      </c>
      <c r="I20" s="26">
        <f t="shared" ref="I20:I22" si="8">G20/(F20*3600)</f>
        <v>3.6002886002885996</v>
      </c>
      <c r="J20" s="6">
        <f t="shared" ref="J20:J22" si="9">$R$9*K20</f>
        <v>392000</v>
      </c>
      <c r="K20" s="22">
        <v>8</v>
      </c>
      <c r="L20" s="26">
        <f t="shared" ref="L20:L22" si="10">J20/(F20*3600)</f>
        <v>3.535353535353535</v>
      </c>
    </row>
    <row r="21" spans="2:28" ht="16.2" x14ac:dyDescent="0.3">
      <c r="C21" s="63" t="s">
        <v>38</v>
      </c>
      <c r="D21" s="2" t="s">
        <v>36</v>
      </c>
      <c r="E21" s="2">
        <v>14</v>
      </c>
      <c r="F21" s="16">
        <f>14*2.16</f>
        <v>30.240000000000002</v>
      </c>
      <c r="G21" s="6">
        <f t="shared" si="7"/>
        <v>499000</v>
      </c>
      <c r="H21" s="22">
        <v>10</v>
      </c>
      <c r="I21" s="26">
        <f t="shared" si="8"/>
        <v>4.5837007642563199</v>
      </c>
      <c r="J21" s="6">
        <f t="shared" si="9"/>
        <v>490000</v>
      </c>
      <c r="K21" s="22">
        <v>10</v>
      </c>
      <c r="L21" s="26">
        <f t="shared" si="10"/>
        <v>4.5010288065843618</v>
      </c>
    </row>
    <row r="22" spans="2:28" ht="16.8" thickBot="1" x14ac:dyDescent="0.35">
      <c r="C22" s="55"/>
      <c r="D22" s="5" t="s">
        <v>37</v>
      </c>
      <c r="E22" s="5">
        <v>14</v>
      </c>
      <c r="F22" s="8">
        <f>14*2.25</f>
        <v>31.5</v>
      </c>
      <c r="G22" s="7">
        <f t="shared" si="7"/>
        <v>499000</v>
      </c>
      <c r="H22" s="19">
        <v>10</v>
      </c>
      <c r="I22" s="20">
        <f t="shared" si="8"/>
        <v>4.4003527336860673</v>
      </c>
      <c r="J22" s="7">
        <f t="shared" si="9"/>
        <v>490000</v>
      </c>
      <c r="K22" s="19">
        <v>10</v>
      </c>
      <c r="L22" s="20">
        <f t="shared" si="10"/>
        <v>4.3209876543209873</v>
      </c>
      <c r="S22" s="62" t="s">
        <v>1</v>
      </c>
      <c r="T22" s="62"/>
      <c r="U22" s="57" t="s">
        <v>7</v>
      </c>
      <c r="V22" s="62" t="s">
        <v>30</v>
      </c>
      <c r="W22" s="62"/>
      <c r="X22" s="62" t="s">
        <v>33</v>
      </c>
      <c r="Y22" s="62"/>
      <c r="Z22" s="21"/>
    </row>
    <row r="23" spans="2:28" ht="14.55" customHeight="1" x14ac:dyDescent="0.3">
      <c r="E23" s="2"/>
      <c r="F23" s="4"/>
      <c r="G23" s="6"/>
      <c r="H23" s="3"/>
      <c r="I23" s="4"/>
      <c r="J23" s="4"/>
      <c r="K23" s="3"/>
      <c r="L23" s="4"/>
      <c r="S23" s="1" t="s">
        <v>2</v>
      </c>
      <c r="T23" s="1" t="s">
        <v>8</v>
      </c>
      <c r="U23" s="65"/>
      <c r="V23" s="1" t="s">
        <v>4</v>
      </c>
      <c r="W23" s="1" t="s">
        <v>9</v>
      </c>
      <c r="X23" s="1" t="s">
        <v>41</v>
      </c>
      <c r="Y23" s="1" t="s">
        <v>4</v>
      </c>
      <c r="Z23" s="1" t="s">
        <v>9</v>
      </c>
    </row>
    <row r="24" spans="2:28" ht="16.2" x14ac:dyDescent="0.3">
      <c r="D24" s="9" t="s">
        <v>14</v>
      </c>
      <c r="E24" s="2"/>
      <c r="F24" s="4"/>
      <c r="G24" s="6"/>
      <c r="H24" s="3"/>
      <c r="I24" s="4"/>
      <c r="J24" s="4"/>
      <c r="K24" s="3"/>
      <c r="L24" s="4"/>
      <c r="Q24" s="64" t="s">
        <v>35</v>
      </c>
      <c r="R24" t="s">
        <v>36</v>
      </c>
      <c r="S24" s="2">
        <v>14</v>
      </c>
      <c r="T24" s="16">
        <f>14*2.05</f>
        <v>28.699999999999996</v>
      </c>
      <c r="U24" s="6">
        <f>V24*$Q$9</f>
        <v>399200</v>
      </c>
      <c r="V24" s="22">
        <v>8</v>
      </c>
      <c r="W24" s="26">
        <f>U24/(T24*3600)</f>
        <v>3.8637243515292301</v>
      </c>
      <c r="X24" s="6">
        <f>R15*$K$11</f>
        <v>0</v>
      </c>
      <c r="Y24" s="22">
        <v>8</v>
      </c>
      <c r="Z24" s="6">
        <f>X24/T24</f>
        <v>0</v>
      </c>
    </row>
    <row r="25" spans="2:28" ht="16.2" x14ac:dyDescent="0.3">
      <c r="D25" s="18" t="s">
        <v>45</v>
      </c>
      <c r="E25" s="2"/>
      <c r="F25" s="4"/>
      <c r="G25" s="6"/>
      <c r="H25" s="3"/>
      <c r="I25" s="4"/>
      <c r="J25" s="4"/>
      <c r="K25" s="3"/>
      <c r="L25" s="4"/>
      <c r="Q25" s="64"/>
      <c r="R25" t="s">
        <v>37</v>
      </c>
      <c r="S25" s="2">
        <v>14</v>
      </c>
      <c r="T25" s="16">
        <f>14*2.2</f>
        <v>30.800000000000004</v>
      </c>
      <c r="U25" s="6">
        <f t="shared" ref="U25:U29" si="11">V25*$Q$9</f>
        <v>399200</v>
      </c>
      <c r="V25" s="22">
        <v>8</v>
      </c>
      <c r="W25" s="26">
        <f t="shared" ref="W25:W29" si="12">U25/(T25*3600)</f>
        <v>3.6002886002885996</v>
      </c>
      <c r="X25" s="6">
        <f>R15*$K$12</f>
        <v>0</v>
      </c>
      <c r="Y25" s="22">
        <v>8</v>
      </c>
      <c r="Z25" s="6">
        <f t="shared" ref="Z25:Z29" si="13">X25/T25</f>
        <v>0</v>
      </c>
    </row>
    <row r="26" spans="2:28" x14ac:dyDescent="0.3">
      <c r="D26" s="18"/>
      <c r="E26" s="2"/>
      <c r="F26" s="4"/>
      <c r="G26" s="6"/>
      <c r="H26" s="3"/>
      <c r="I26" s="4"/>
      <c r="J26" s="4"/>
      <c r="K26" s="3"/>
      <c r="L26" s="4"/>
      <c r="Q26" s="24"/>
      <c r="S26" s="2"/>
      <c r="T26" s="16"/>
      <c r="U26" s="6"/>
      <c r="V26" s="22"/>
      <c r="W26" s="26"/>
      <c r="X26" s="6"/>
      <c r="Y26" s="22"/>
      <c r="Z26" s="6"/>
    </row>
    <row r="27" spans="2:28" ht="15" thickBot="1" x14ac:dyDescent="0.35">
      <c r="D27" s="59" t="s">
        <v>16</v>
      </c>
      <c r="E27" s="59"/>
      <c r="F27" s="59"/>
      <c r="G27" s="59"/>
      <c r="H27" s="59"/>
      <c r="I27" s="59"/>
      <c r="J27" s="59"/>
      <c r="K27" s="59"/>
      <c r="L27" s="4"/>
      <c r="Q27" s="24"/>
      <c r="S27" s="2"/>
      <c r="T27" s="16"/>
      <c r="U27" s="6"/>
      <c r="V27" s="22"/>
      <c r="W27" s="26"/>
      <c r="X27" s="6"/>
      <c r="Y27" s="22"/>
      <c r="Z27" s="6"/>
    </row>
    <row r="28" spans="2:28" ht="16.2" customHeight="1" x14ac:dyDescent="0.3">
      <c r="B28" s="56" t="s">
        <v>10</v>
      </c>
      <c r="C28" s="56"/>
      <c r="D28" s="56" t="s">
        <v>11</v>
      </c>
      <c r="E28" s="56"/>
      <c r="F28" s="56"/>
      <c r="G28" s="56" t="s">
        <v>29</v>
      </c>
      <c r="H28" s="56"/>
      <c r="I28" s="56"/>
      <c r="J28" s="56" t="s">
        <v>42</v>
      </c>
      <c r="K28" s="56"/>
      <c r="L28" s="56"/>
      <c r="Q28" s="64" t="s">
        <v>38</v>
      </c>
      <c r="R28" t="s">
        <v>36</v>
      </c>
      <c r="S28" s="2">
        <v>14</v>
      </c>
      <c r="T28" s="16">
        <f>14*2.16</f>
        <v>30.240000000000002</v>
      </c>
      <c r="U28" s="6">
        <f t="shared" si="11"/>
        <v>499000</v>
      </c>
      <c r="V28" s="22">
        <v>10</v>
      </c>
      <c r="W28" s="26">
        <f t="shared" si="12"/>
        <v>4.5837007642563199</v>
      </c>
      <c r="X28" s="6">
        <f>Y28*$R$7</f>
        <v>289000</v>
      </c>
      <c r="Y28" s="22">
        <v>10</v>
      </c>
      <c r="Z28" s="6">
        <f t="shared" si="13"/>
        <v>9556.8783068783068</v>
      </c>
    </row>
    <row r="29" spans="2:28" ht="55.8" thickBot="1" x14ac:dyDescent="0.35">
      <c r="B29" s="57"/>
      <c r="C29" s="57"/>
      <c r="D29" s="13" t="s">
        <v>17</v>
      </c>
      <c r="E29" s="13" t="s">
        <v>18</v>
      </c>
      <c r="F29" s="13" t="s">
        <v>19</v>
      </c>
      <c r="G29" s="13" t="s">
        <v>20</v>
      </c>
      <c r="H29" s="13" t="s">
        <v>21</v>
      </c>
      <c r="I29" s="13" t="s">
        <v>22</v>
      </c>
      <c r="J29" s="13" t="s">
        <v>20</v>
      </c>
      <c r="K29" s="13" t="s">
        <v>21</v>
      </c>
      <c r="L29" s="13" t="s">
        <v>22</v>
      </c>
      <c r="Q29" s="64"/>
      <c r="R29" t="s">
        <v>37</v>
      </c>
      <c r="S29" s="5">
        <v>14</v>
      </c>
      <c r="T29" s="8">
        <f>14*2.25</f>
        <v>31.5</v>
      </c>
      <c r="U29" s="6">
        <f t="shared" si="11"/>
        <v>499000</v>
      </c>
      <c r="V29" s="19">
        <v>10</v>
      </c>
      <c r="W29" s="26">
        <f t="shared" si="12"/>
        <v>4.4003527336860673</v>
      </c>
      <c r="X29" s="7">
        <f>Y29*$R$7</f>
        <v>289000</v>
      </c>
      <c r="Y29" s="19">
        <v>10</v>
      </c>
      <c r="Z29" s="8">
        <f t="shared" si="13"/>
        <v>9174.6031746031749</v>
      </c>
    </row>
    <row r="30" spans="2:28" ht="16.2" x14ac:dyDescent="0.3">
      <c r="B30" s="64" t="s">
        <v>35</v>
      </c>
      <c r="C30" s="24" t="s">
        <v>36</v>
      </c>
      <c r="D30" s="28">
        <v>14</v>
      </c>
      <c r="E30" s="28">
        <v>22</v>
      </c>
      <c r="F30" s="14">
        <f>(E30*1.8*10.764)*2</f>
        <v>852.50879999999995</v>
      </c>
      <c r="G30" s="6">
        <f>H19</f>
        <v>8</v>
      </c>
      <c r="H30" s="15">
        <f>G11</f>
        <v>235200</v>
      </c>
      <c r="I30" s="27">
        <f>H30/F30</f>
        <v>275.89158023940632</v>
      </c>
      <c r="J30" s="6">
        <f>K19</f>
        <v>8</v>
      </c>
      <c r="K30" s="15">
        <f>J11</f>
        <v>231200</v>
      </c>
      <c r="L30" s="27">
        <f>K30/F30</f>
        <v>271.19954656186542</v>
      </c>
    </row>
    <row r="31" spans="2:28" ht="16.2" x14ac:dyDescent="0.3">
      <c r="B31" s="64"/>
      <c r="C31" s="24" t="s">
        <v>37</v>
      </c>
      <c r="D31" s="23">
        <v>14</v>
      </c>
      <c r="E31" s="23">
        <v>22</v>
      </c>
      <c r="F31" s="14">
        <f t="shared" ref="F31:F33" si="14">(E31*1.8*10.764)*2</f>
        <v>852.50879999999995</v>
      </c>
      <c r="G31" s="6">
        <f>H20</f>
        <v>8</v>
      </c>
      <c r="H31" s="15">
        <f>G12</f>
        <v>235200</v>
      </c>
      <c r="I31" s="27">
        <f t="shared" ref="I31:I33" si="15">H31/F31</f>
        <v>275.89158023940632</v>
      </c>
      <c r="J31" s="6">
        <f>K20</f>
        <v>8</v>
      </c>
      <c r="K31" s="15">
        <f>J12</f>
        <v>231200</v>
      </c>
      <c r="L31" s="27">
        <f t="shared" ref="L31:L33" si="16">K31/F31</f>
        <v>271.19954656186542</v>
      </c>
    </row>
    <row r="32" spans="2:28" ht="15.75" customHeight="1" x14ac:dyDescent="0.3">
      <c r="B32" s="63" t="s">
        <v>38</v>
      </c>
      <c r="C32" s="2" t="s">
        <v>36</v>
      </c>
      <c r="D32" s="23">
        <v>14</v>
      </c>
      <c r="E32" s="23">
        <v>24</v>
      </c>
      <c r="F32" s="15">
        <f t="shared" si="14"/>
        <v>930.00959999999998</v>
      </c>
      <c r="G32" s="6">
        <f>H21</f>
        <v>10</v>
      </c>
      <c r="H32" s="15">
        <f>G13</f>
        <v>294000</v>
      </c>
      <c r="I32" s="27">
        <f t="shared" si="15"/>
        <v>316.12576902431977</v>
      </c>
      <c r="J32" s="6">
        <f>K21</f>
        <v>10</v>
      </c>
      <c r="K32" s="15">
        <f>J13</f>
        <v>289000</v>
      </c>
      <c r="L32" s="27">
        <f t="shared" si="16"/>
        <v>310.74948043547079</v>
      </c>
      <c r="Q32">
        <v>50</v>
      </c>
      <c r="R32">
        <v>57</v>
      </c>
      <c r="T32" s="61" t="s">
        <v>27</v>
      </c>
      <c r="U32" s="61"/>
    </row>
    <row r="33" spans="2:29" ht="16.8" thickBot="1" x14ac:dyDescent="0.35">
      <c r="B33" s="55"/>
      <c r="C33" s="5" t="s">
        <v>37</v>
      </c>
      <c r="D33" s="5">
        <v>14</v>
      </c>
      <c r="E33" s="8">
        <v>24</v>
      </c>
      <c r="F33" s="7">
        <f t="shared" si="14"/>
        <v>930.00959999999998</v>
      </c>
      <c r="G33" s="7">
        <f>H22</f>
        <v>10</v>
      </c>
      <c r="H33" s="7">
        <f>G14</f>
        <v>294000</v>
      </c>
      <c r="I33" s="29">
        <f t="shared" si="15"/>
        <v>316.12576902431977</v>
      </c>
      <c r="J33" s="7">
        <f>K22</f>
        <v>10</v>
      </c>
      <c r="K33" s="7">
        <f>J14</f>
        <v>289000</v>
      </c>
      <c r="L33" s="30">
        <f t="shared" si="16"/>
        <v>310.74948043547079</v>
      </c>
      <c r="P33">
        <v>0.25</v>
      </c>
      <c r="Q33">
        <v>29400</v>
      </c>
      <c r="R33">
        <v>36200</v>
      </c>
    </row>
    <row r="34" spans="2:29" x14ac:dyDescent="0.3">
      <c r="L34" s="27"/>
    </row>
    <row r="35" spans="2:29" ht="15" thickBot="1" x14ac:dyDescent="0.35">
      <c r="D35" t="s">
        <v>12</v>
      </c>
      <c r="L35" s="27"/>
    </row>
    <row r="36" spans="2:29" x14ac:dyDescent="0.3">
      <c r="B36" s="56" t="s">
        <v>10</v>
      </c>
      <c r="C36" s="56"/>
      <c r="D36" s="56" t="s">
        <v>11</v>
      </c>
      <c r="E36" s="56"/>
      <c r="F36" s="56"/>
      <c r="G36" s="56" t="s">
        <v>29</v>
      </c>
      <c r="H36" s="56"/>
      <c r="I36" s="56"/>
      <c r="J36" s="56" t="s">
        <v>42</v>
      </c>
      <c r="K36" s="56"/>
      <c r="L36" s="56"/>
    </row>
    <row r="37" spans="2:29" ht="55.2" x14ac:dyDescent="0.3">
      <c r="B37" s="57"/>
      <c r="C37" s="57"/>
      <c r="D37" s="13" t="s">
        <v>17</v>
      </c>
      <c r="E37" s="13" t="s">
        <v>18</v>
      </c>
      <c r="F37" s="13" t="s">
        <v>23</v>
      </c>
      <c r="G37" s="13" t="s">
        <v>20</v>
      </c>
      <c r="H37" s="1" t="s">
        <v>44</v>
      </c>
      <c r="I37" s="13" t="s">
        <v>24</v>
      </c>
      <c r="J37" s="13" t="s">
        <v>20</v>
      </c>
      <c r="K37" s="1" t="s">
        <v>44</v>
      </c>
      <c r="L37" s="13" t="s">
        <v>24</v>
      </c>
    </row>
    <row r="38" spans="2:29" ht="16.2" x14ac:dyDescent="0.3">
      <c r="B38" s="64" t="s">
        <v>35</v>
      </c>
      <c r="C38" s="24" t="s">
        <v>36</v>
      </c>
      <c r="D38" s="28">
        <v>14</v>
      </c>
      <c r="E38" s="28">
        <v>22</v>
      </c>
      <c r="F38" s="14">
        <f>(E38*1.8)*2</f>
        <v>79.2</v>
      </c>
      <c r="G38" s="6">
        <f>G30</f>
        <v>8</v>
      </c>
      <c r="H38" s="15">
        <f>G19</f>
        <v>399200</v>
      </c>
      <c r="I38" s="27">
        <f>H38/($F38*3600)</f>
        <v>1.4001122334455667</v>
      </c>
      <c r="J38" s="6">
        <f>J30</f>
        <v>8</v>
      </c>
      <c r="K38" s="15">
        <f>J19</f>
        <v>392000</v>
      </c>
      <c r="L38" s="27">
        <f>K38/($F38*3600)</f>
        <v>1.3748597081930416</v>
      </c>
    </row>
    <row r="39" spans="2:29" ht="16.2" x14ac:dyDescent="0.3">
      <c r="B39" s="64"/>
      <c r="C39" s="24" t="s">
        <v>37</v>
      </c>
      <c r="D39" s="23">
        <v>14</v>
      </c>
      <c r="E39" s="23">
        <v>22</v>
      </c>
      <c r="F39" s="14">
        <f t="shared" ref="F39:F41" si="17">(E39*1.8)*2</f>
        <v>79.2</v>
      </c>
      <c r="G39" s="6">
        <f t="shared" ref="G39:G41" si="18">G31</f>
        <v>8</v>
      </c>
      <c r="H39" s="15">
        <f>G20</f>
        <v>399200</v>
      </c>
      <c r="I39" s="27">
        <f t="shared" ref="I39:I41" si="19">H39/($F39*3600)</f>
        <v>1.4001122334455667</v>
      </c>
      <c r="J39" s="6">
        <f t="shared" ref="J39:J41" si="20">J31</f>
        <v>8</v>
      </c>
      <c r="K39" s="15">
        <f>J20</f>
        <v>392000</v>
      </c>
      <c r="L39" s="27">
        <f t="shared" ref="L39:L41" si="21">K39/($F39*3600)</f>
        <v>1.3748597081930416</v>
      </c>
      <c r="V39" t="s">
        <v>51</v>
      </c>
    </row>
    <row r="40" spans="2:29" ht="16.2" x14ac:dyDescent="0.3">
      <c r="B40" s="63" t="s">
        <v>38</v>
      </c>
      <c r="C40" s="2" t="s">
        <v>36</v>
      </c>
      <c r="D40" s="23">
        <v>14</v>
      </c>
      <c r="E40" s="23">
        <v>24</v>
      </c>
      <c r="F40" s="14">
        <f t="shared" si="17"/>
        <v>86.4</v>
      </c>
      <c r="G40" s="6">
        <f t="shared" si="18"/>
        <v>10</v>
      </c>
      <c r="H40" s="15">
        <f>G21</f>
        <v>499000</v>
      </c>
      <c r="I40" s="27">
        <f t="shared" si="19"/>
        <v>1.604295267489712</v>
      </c>
      <c r="J40" s="6">
        <f t="shared" si="20"/>
        <v>10</v>
      </c>
      <c r="K40" s="15">
        <f>J21</f>
        <v>490000</v>
      </c>
      <c r="L40" s="27">
        <f t="shared" si="21"/>
        <v>1.5753600823045268</v>
      </c>
      <c r="V40" t="s">
        <v>52</v>
      </c>
      <c r="W40" s="42">
        <v>24</v>
      </c>
    </row>
    <row r="41" spans="2:29" ht="16.8" thickBot="1" x14ac:dyDescent="0.35">
      <c r="B41" s="55"/>
      <c r="C41" s="5" t="s">
        <v>37</v>
      </c>
      <c r="D41" s="5">
        <v>14</v>
      </c>
      <c r="E41" s="8">
        <v>24</v>
      </c>
      <c r="F41" s="8">
        <f t="shared" si="17"/>
        <v>86.4</v>
      </c>
      <c r="G41" s="7">
        <f t="shared" si="18"/>
        <v>10</v>
      </c>
      <c r="H41" s="7">
        <f>G22</f>
        <v>499000</v>
      </c>
      <c r="I41" s="29">
        <f t="shared" si="19"/>
        <v>1.604295267489712</v>
      </c>
      <c r="J41" s="7">
        <f t="shared" si="20"/>
        <v>10</v>
      </c>
      <c r="K41" s="7">
        <f>J22</f>
        <v>490000</v>
      </c>
      <c r="L41" s="30">
        <f t="shared" si="21"/>
        <v>1.5753600823045268</v>
      </c>
      <c r="R41" s="32" t="s">
        <v>47</v>
      </c>
      <c r="S41" s="32" t="s">
        <v>34</v>
      </c>
      <c r="T41" s="32" t="s">
        <v>28</v>
      </c>
      <c r="V41" t="s">
        <v>53</v>
      </c>
      <c r="W41" s="42">
        <v>30</v>
      </c>
    </row>
    <row r="42" spans="2:29" x14ac:dyDescent="0.3">
      <c r="R42" s="41" t="s">
        <v>48</v>
      </c>
      <c r="S42" s="42">
        <v>2137</v>
      </c>
      <c r="T42" s="42">
        <v>1970</v>
      </c>
      <c r="V42" t="s">
        <v>54</v>
      </c>
      <c r="W42" s="42">
        <v>365</v>
      </c>
    </row>
    <row r="43" spans="2:29" x14ac:dyDescent="0.3">
      <c r="D43" s="9" t="s">
        <v>46</v>
      </c>
      <c r="R43" s="41" t="s">
        <v>49</v>
      </c>
      <c r="S43" s="42">
        <v>28900</v>
      </c>
      <c r="T43" s="42">
        <v>29400</v>
      </c>
      <c r="V43" t="s">
        <v>55</v>
      </c>
      <c r="W43" s="42">
        <f>H11</f>
        <v>8</v>
      </c>
    </row>
    <row r="44" spans="2:29" x14ac:dyDescent="0.3">
      <c r="D44" s="9"/>
      <c r="R44" s="41"/>
      <c r="S44" s="42"/>
      <c r="T44" s="42"/>
      <c r="W44" s="42"/>
    </row>
    <row r="45" spans="2:29" ht="15" thickBot="1" x14ac:dyDescent="0.35">
      <c r="D45" s="9"/>
      <c r="R45" s="41"/>
      <c r="S45" s="42"/>
      <c r="T45" s="42"/>
      <c r="W45" s="42"/>
    </row>
    <row r="46" spans="2:29" ht="12.6" customHeight="1" x14ac:dyDescent="0.3">
      <c r="D46" s="56" t="s">
        <v>10</v>
      </c>
      <c r="E46" s="56"/>
      <c r="F46" s="56" t="s">
        <v>29</v>
      </c>
      <c r="G46" s="56"/>
      <c r="H46" s="56"/>
      <c r="I46" s="56" t="s">
        <v>42</v>
      </c>
      <c r="J46" s="56"/>
      <c r="K46" s="56"/>
      <c r="L46" s="56" t="s">
        <v>58</v>
      </c>
      <c r="R46" s="41" t="s">
        <v>50</v>
      </c>
      <c r="S46" s="42">
        <v>49000</v>
      </c>
      <c r="T46" s="42">
        <v>49900</v>
      </c>
      <c r="V46" t="s">
        <v>56</v>
      </c>
      <c r="W46" s="42">
        <f>H13</f>
        <v>10</v>
      </c>
    </row>
    <row r="47" spans="2:29" ht="12.9" customHeight="1" x14ac:dyDescent="0.3">
      <c r="D47" s="57"/>
      <c r="E47" s="57"/>
      <c r="F47" s="13" t="s">
        <v>20</v>
      </c>
      <c r="G47" s="13" t="s">
        <v>59</v>
      </c>
      <c r="H47" s="13" t="s">
        <v>60</v>
      </c>
      <c r="I47" s="13" t="s">
        <v>20</v>
      </c>
      <c r="J47" s="13" t="s">
        <v>59</v>
      </c>
      <c r="K47" s="13" t="s">
        <v>60</v>
      </c>
      <c r="L47" s="57"/>
      <c r="R47" s="41" t="s">
        <v>57</v>
      </c>
      <c r="S47" s="49">
        <v>13.5</v>
      </c>
      <c r="T47" s="49">
        <v>14.9</v>
      </c>
      <c r="U47" s="48"/>
      <c r="V47" s="48"/>
      <c r="W47" s="48"/>
      <c r="X47" s="48"/>
      <c r="Y47" s="48"/>
      <c r="Z47" s="33"/>
    </row>
    <row r="48" spans="2:29" ht="12.9" customHeight="1" x14ac:dyDescent="0.3">
      <c r="D48" s="58" t="s">
        <v>35</v>
      </c>
      <c r="E48" s="58"/>
      <c r="F48" s="47">
        <f>$W$43</f>
        <v>8</v>
      </c>
      <c r="G48" s="24">
        <f>F48*$T$42/1000</f>
        <v>15.76</v>
      </c>
      <c r="H48" s="52">
        <f>$T$47*F48</f>
        <v>119.2</v>
      </c>
      <c r="I48" s="47">
        <f>$W$43</f>
        <v>8</v>
      </c>
      <c r="J48" s="51">
        <f>I48*$S$42/1000</f>
        <v>17.096</v>
      </c>
      <c r="K48" s="52">
        <f>$S$47*I48</f>
        <v>108</v>
      </c>
      <c r="L48" s="50">
        <f>K48-H48</f>
        <v>-11.200000000000003</v>
      </c>
      <c r="S48" s="34"/>
      <c r="T48" s="68"/>
      <c r="U48" s="68"/>
      <c r="V48" s="68"/>
      <c r="W48" s="68"/>
      <c r="X48" s="68"/>
      <c r="Y48" s="68"/>
      <c r="Z48" s="35"/>
      <c r="AA48" s="69"/>
      <c r="AB48" s="69"/>
      <c r="AC48" s="69"/>
    </row>
    <row r="49" spans="4:29" ht="15" thickBot="1" x14ac:dyDescent="0.35">
      <c r="D49" s="55" t="s">
        <v>38</v>
      </c>
      <c r="E49" s="55"/>
      <c r="F49" s="5">
        <f>$W$46</f>
        <v>10</v>
      </c>
      <c r="G49" s="5">
        <f>F49*$T$42/1000</f>
        <v>19.7</v>
      </c>
      <c r="H49" s="53">
        <f>$T$47*F49</f>
        <v>149</v>
      </c>
      <c r="I49" s="5">
        <f>$W$46</f>
        <v>10</v>
      </c>
      <c r="J49" s="5">
        <f>I49*$S$42/1000</f>
        <v>21.37</v>
      </c>
      <c r="K49" s="53">
        <f>$S$47*I49</f>
        <v>135</v>
      </c>
      <c r="L49" s="5">
        <f>K49-H49</f>
        <v>-14</v>
      </c>
      <c r="S49" s="35"/>
      <c r="T49" s="36"/>
      <c r="U49" s="36"/>
      <c r="V49" s="14"/>
      <c r="W49" s="37"/>
      <c r="X49" s="15"/>
      <c r="Y49" s="38"/>
      <c r="Z49" s="38"/>
      <c r="AA49" s="37"/>
      <c r="AB49" s="15"/>
      <c r="AC49" s="38"/>
    </row>
    <row r="50" spans="4:29" x14ac:dyDescent="0.3">
      <c r="K50" s="54"/>
    </row>
    <row r="51" spans="4:29" ht="15" thickBot="1" x14ac:dyDescent="0.35">
      <c r="K51" s="54"/>
    </row>
    <row r="52" spans="4:29" x14ac:dyDescent="0.3">
      <c r="D52" s="56" t="s">
        <v>10</v>
      </c>
      <c r="E52" s="56"/>
      <c r="F52" s="56" t="s">
        <v>29</v>
      </c>
      <c r="G52" s="56"/>
      <c r="H52" s="56"/>
      <c r="I52" s="56" t="s">
        <v>42</v>
      </c>
      <c r="J52" s="56"/>
      <c r="K52" s="56"/>
      <c r="L52" s="56" t="s">
        <v>58</v>
      </c>
      <c r="S52" s="67"/>
      <c r="T52" s="67"/>
      <c r="U52" s="67"/>
      <c r="V52" s="67"/>
      <c r="W52" s="67"/>
      <c r="X52" s="67"/>
      <c r="Y52" s="67"/>
      <c r="Z52" s="33"/>
    </row>
    <row r="53" spans="4:29" ht="12.9" customHeight="1" x14ac:dyDescent="0.3">
      <c r="D53" s="57"/>
      <c r="E53" s="57"/>
      <c r="F53" s="13" t="s">
        <v>20</v>
      </c>
      <c r="G53" s="13" t="s">
        <v>61</v>
      </c>
      <c r="H53" s="13" t="s">
        <v>60</v>
      </c>
      <c r="I53" s="13" t="s">
        <v>20</v>
      </c>
      <c r="J53" s="13" t="s">
        <v>61</v>
      </c>
      <c r="K53" s="13" t="s">
        <v>60</v>
      </c>
      <c r="L53" s="57"/>
      <c r="S53" s="45"/>
      <c r="T53" s="46"/>
      <c r="U53" s="46"/>
      <c r="V53" s="46"/>
      <c r="W53" s="46"/>
      <c r="X53" s="46"/>
      <c r="Y53" s="46"/>
      <c r="Z53" s="35"/>
      <c r="AA53" s="43"/>
      <c r="AB53" s="43"/>
      <c r="AC53" s="43"/>
    </row>
    <row r="54" spans="4:29" ht="14.4" customHeight="1" x14ac:dyDescent="0.3">
      <c r="D54" s="58" t="s">
        <v>35</v>
      </c>
      <c r="E54" s="58"/>
      <c r="F54" s="47">
        <f>$W$43</f>
        <v>8</v>
      </c>
      <c r="G54" s="52">
        <f>G48*$W$40</f>
        <v>378.24</v>
      </c>
      <c r="H54" s="74">
        <f>$T$47*F54</f>
        <v>119.2</v>
      </c>
      <c r="I54" s="47">
        <f>$W$43</f>
        <v>8</v>
      </c>
      <c r="J54" s="75">
        <f>J48*$W$40</f>
        <v>410.30399999999997</v>
      </c>
      <c r="K54" s="74">
        <f>$S$47*I54</f>
        <v>108</v>
      </c>
      <c r="L54" s="70">
        <f>J54-G54</f>
        <v>32.063999999999965</v>
      </c>
      <c r="S54" s="45"/>
      <c r="T54" s="34"/>
      <c r="U54" s="34"/>
      <c r="V54" s="34"/>
      <c r="W54" s="34"/>
      <c r="X54" s="34"/>
      <c r="Y54" s="34"/>
      <c r="Z54" s="34"/>
      <c r="AA54" s="34"/>
      <c r="AB54" s="34"/>
      <c r="AC54" s="34"/>
    </row>
    <row r="55" spans="4:29" ht="15" thickBot="1" x14ac:dyDescent="0.35">
      <c r="D55" s="55" t="s">
        <v>38</v>
      </c>
      <c r="E55" s="55"/>
      <c r="F55" s="5">
        <f>$W$46</f>
        <v>10</v>
      </c>
      <c r="G55" s="30">
        <f>G49*$W$40</f>
        <v>472.79999999999995</v>
      </c>
      <c r="H55" s="5">
        <f>$T$47*F55</f>
        <v>149</v>
      </c>
      <c r="I55" s="5">
        <f>$W$46</f>
        <v>10</v>
      </c>
      <c r="J55" s="30">
        <f>J49*$W$40</f>
        <v>512.88</v>
      </c>
      <c r="K55" s="5">
        <f>$S$47*I55</f>
        <v>135</v>
      </c>
      <c r="L55" s="72">
        <f>J55-G55</f>
        <v>40.080000000000041</v>
      </c>
      <c r="S55" s="35"/>
      <c r="T55" s="36"/>
      <c r="U55" s="36"/>
      <c r="V55" s="14"/>
      <c r="W55" s="37"/>
      <c r="X55" s="15"/>
      <c r="Y55" s="27"/>
      <c r="Z55" s="27"/>
      <c r="AA55" s="37"/>
      <c r="AB55" s="15"/>
      <c r="AC55" s="27"/>
    </row>
    <row r="56" spans="4:29" x14ac:dyDescent="0.3">
      <c r="S56" s="35"/>
      <c r="T56" s="36"/>
      <c r="U56" s="36"/>
      <c r="V56" s="14"/>
      <c r="W56" s="37"/>
      <c r="X56" s="15"/>
      <c r="Y56" s="38"/>
      <c r="Z56" s="38"/>
      <c r="AA56" s="37"/>
      <c r="AB56" s="15"/>
      <c r="AC56" s="38"/>
    </row>
    <row r="57" spans="4:29" ht="15" thickBot="1" x14ac:dyDescent="0.35">
      <c r="S57" s="39"/>
      <c r="T57" s="12"/>
      <c r="U57" s="12"/>
      <c r="V57" s="12"/>
      <c r="W57" s="12"/>
      <c r="X57" s="12"/>
      <c r="Y57" s="12"/>
      <c r="Z57" s="12"/>
      <c r="AA57" s="12"/>
      <c r="AB57" s="12"/>
    </row>
    <row r="58" spans="4:29" x14ac:dyDescent="0.3">
      <c r="D58" s="56" t="s">
        <v>10</v>
      </c>
      <c r="E58" s="56"/>
      <c r="F58" s="56" t="s">
        <v>29</v>
      </c>
      <c r="G58" s="56"/>
      <c r="H58" s="56"/>
      <c r="I58" s="56" t="s">
        <v>42</v>
      </c>
      <c r="J58" s="56"/>
      <c r="K58" s="56"/>
      <c r="L58" s="56" t="s">
        <v>58</v>
      </c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</row>
    <row r="59" spans="4:29" ht="13.05" customHeight="1" x14ac:dyDescent="0.3">
      <c r="D59" s="57"/>
      <c r="E59" s="57"/>
      <c r="F59" s="13" t="s">
        <v>20</v>
      </c>
      <c r="G59" s="13" t="s">
        <v>62</v>
      </c>
      <c r="H59" s="13" t="s">
        <v>60</v>
      </c>
      <c r="I59" s="13" t="s">
        <v>20</v>
      </c>
      <c r="J59" s="13" t="s">
        <v>62</v>
      </c>
      <c r="K59" s="13" t="s">
        <v>60</v>
      </c>
      <c r="L59" s="57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</row>
    <row r="60" spans="4:29" x14ac:dyDescent="0.3">
      <c r="D60" s="58" t="s">
        <v>35</v>
      </c>
      <c r="E60" s="58"/>
      <c r="F60" s="47">
        <f>$W$43</f>
        <v>8</v>
      </c>
      <c r="G60" s="52">
        <f>G54*$W$41</f>
        <v>11347.2</v>
      </c>
      <c r="H60" s="74">
        <f>$T$47*F60</f>
        <v>119.2</v>
      </c>
      <c r="I60" s="47">
        <f>$W$43</f>
        <v>8</v>
      </c>
      <c r="J60" s="52">
        <f>J54*$W$41</f>
        <v>12309.119999999999</v>
      </c>
      <c r="K60" s="52">
        <f>$S$47*I60</f>
        <v>108</v>
      </c>
      <c r="L60" s="70">
        <f>J60-G60</f>
        <v>961.91999999999825</v>
      </c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</row>
    <row r="61" spans="4:29" ht="15" thickBot="1" x14ac:dyDescent="0.35">
      <c r="D61" s="55" t="s">
        <v>38</v>
      </c>
      <c r="E61" s="55"/>
      <c r="F61" s="5">
        <f>$W$46</f>
        <v>10</v>
      </c>
      <c r="G61" s="71">
        <f>G55*$W$41</f>
        <v>14183.999999999998</v>
      </c>
      <c r="H61" s="5">
        <f>$T$47*F61</f>
        <v>149</v>
      </c>
      <c r="I61" s="5">
        <f>$W$46</f>
        <v>10</v>
      </c>
      <c r="J61" s="71">
        <f>J55*$W$41</f>
        <v>15386.4</v>
      </c>
      <c r="K61" s="53">
        <f>$S$47*I61</f>
        <v>135</v>
      </c>
      <c r="L61" s="73">
        <f>J61-G61</f>
        <v>1202.4000000000015</v>
      </c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</row>
    <row r="62" spans="4:29" x14ac:dyDescent="0.3"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</row>
    <row r="74" spans="18:25" x14ac:dyDescent="0.3">
      <c r="R74" s="62"/>
      <c r="S74" s="62"/>
      <c r="T74" s="40"/>
      <c r="U74" s="40"/>
      <c r="V74" s="40"/>
      <c r="W74" s="62"/>
      <c r="X74" s="62"/>
      <c r="Y74" s="62"/>
    </row>
  </sheetData>
  <mergeCells count="62">
    <mergeCell ref="D61:E61"/>
    <mergeCell ref="AA48:AC48"/>
    <mergeCell ref="C9:D10"/>
    <mergeCell ref="B38:B39"/>
    <mergeCell ref="B40:B41"/>
    <mergeCell ref="D27:K27"/>
    <mergeCell ref="B28:C29"/>
    <mergeCell ref="B36:C37"/>
    <mergeCell ref="B30:B31"/>
    <mergeCell ref="B32:B33"/>
    <mergeCell ref="J28:L28"/>
    <mergeCell ref="G28:I28"/>
    <mergeCell ref="D28:F28"/>
    <mergeCell ref="C19:C20"/>
    <mergeCell ref="C21:C22"/>
    <mergeCell ref="C17:D18"/>
    <mergeCell ref="X22:Y22"/>
    <mergeCell ref="E17:F17"/>
    <mergeCell ref="G17:I17"/>
    <mergeCell ref="R74:S74"/>
    <mergeCell ref="W74:Y74"/>
    <mergeCell ref="D36:F36"/>
    <mergeCell ref="G36:I36"/>
    <mergeCell ref="J36:L36"/>
    <mergeCell ref="S52:Y52"/>
    <mergeCell ref="T48:V48"/>
    <mergeCell ref="W48:Y48"/>
    <mergeCell ref="D58:E59"/>
    <mergeCell ref="F58:H58"/>
    <mergeCell ref="I58:K58"/>
    <mergeCell ref="L58:L59"/>
    <mergeCell ref="D60:E60"/>
    <mergeCell ref="V22:W22"/>
    <mergeCell ref="D2:L2"/>
    <mergeCell ref="E16:L16"/>
    <mergeCell ref="Q24:Q25"/>
    <mergeCell ref="Q28:Q29"/>
    <mergeCell ref="J17:L17"/>
    <mergeCell ref="D48:E48"/>
    <mergeCell ref="D49:E49"/>
    <mergeCell ref="T32:U32"/>
    <mergeCell ref="S22:T22"/>
    <mergeCell ref="U22:U23"/>
    <mergeCell ref="T9:U9"/>
    <mergeCell ref="T6:U6"/>
    <mergeCell ref="E9:F9"/>
    <mergeCell ref="C13:C14"/>
    <mergeCell ref="C11:C12"/>
    <mergeCell ref="G9:I9"/>
    <mergeCell ref="J9:L9"/>
    <mergeCell ref="F46:H46"/>
    <mergeCell ref="I46:K46"/>
    <mergeCell ref="L46:L47"/>
    <mergeCell ref="E8:L8"/>
    <mergeCell ref="C3:M3"/>
    <mergeCell ref="D46:E47"/>
    <mergeCell ref="D55:E55"/>
    <mergeCell ref="D52:E53"/>
    <mergeCell ref="F52:H52"/>
    <mergeCell ref="I52:K52"/>
    <mergeCell ref="L52:L53"/>
    <mergeCell ref="D54:E54"/>
  </mergeCells>
  <printOptions horizontalCentered="1"/>
  <pageMargins left="0.2" right="0" top="0" bottom="0.25" header="0" footer="0.05"/>
  <pageSetup paperSize="9" scale="5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Thanapat Seekeaw</dc:creator>
  <cp:lastModifiedBy>Thanapat Seekeaw</cp:lastModifiedBy>
  <cp:lastPrinted>2026-05-15T07:32:59Z</cp:lastPrinted>
  <dcterms:created xsi:type="dcterms:W3CDTF">2026-05-08T00:59:03Z</dcterms:created>
  <dcterms:modified xsi:type="dcterms:W3CDTF">2026-05-15T08:40:34Z</dcterms:modified>
</cp:coreProperties>
</file>