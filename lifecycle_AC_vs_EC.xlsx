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fecycle CFM-driv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<sst xmlns="http://schemas.openxmlformats.org/spreadsheetml/2006/main" count="87" uniqueCount="65">
  <si>
    <t xml:space="preserve">AC vs EC — CFM-driven Model (กำหนด CFM เป็น Input)</t>
  </si>
  <si>
    <t xml:space="preserve">INPUT 1 — Lab Data EC Fan @ 0.25 inH₂O</t>
  </si>
  <si>
    <t xml:space="preserve">RPM</t>
  </si>
  <si>
    <t xml:space="preserve">Watts/ตัว</t>
  </si>
  <si>
    <t xml:space="preserve">CFM/ตัว</t>
  </si>
  <si>
    <t xml:space="preserve">CFM/W</t>
  </si>
  <si>
    <t xml:space="preserve">INPUT 2 — AC Fan Spec @ 0.25 inH₂O</t>
  </si>
  <si>
    <t xml:space="preserve">INPUT 3 — House Setup (จำนวนพัดลม + พื้นที่หน้าตัดรวม)</t>
  </si>
  <si>
    <t xml:space="preserve">โรง</t>
  </si>
  <si>
    <t xml:space="preserve">พัดลมรวม</t>
  </si>
  <si>
    <t xml:space="preserve">พื้นที่ (m²)</t>
  </si>
  <si>
    <t xml:space="preserve">พื้นที่ (ft²)</t>
  </si>
  <si>
    <t xml:space="preserve">PS1 (2 ชั้น × 8 ตัว)</t>
  </si>
  <si>
    <t xml:space="preserve">PS2 (2 ชั้น × 10 ตัว)</t>
  </si>
  <si>
    <t xml:space="preserve">INPUT 4 — Lifecycle Profile (กำหนด CFM Target ตามอายุไก่)</t>
  </si>
  <si>
    <t xml:space="preserve">#</t>
  </si>
  <si>
    <t xml:space="preserve">Phase</t>
  </si>
  <si>
    <t xml:space="preserve">สัปดาห์</t>
  </si>
  <si>
    <t xml:space="preserve">จำนวนวัน</t>
  </si>
  <si>
    <t xml:space="preserve">CFM Target PS1</t>
  </si>
  <si>
    <t xml:space="preserve">CFM Target PS2</t>
  </si>
  <si>
    <t xml:space="preserve">ชม./วัน</t>
  </si>
  <si>
    <t xml:space="preserve">Brooding</t>
  </si>
  <si>
    <t xml:space="preserve">1–3</t>
  </si>
  <si>
    <t xml:space="preserve">Starter</t>
  </si>
  <si>
    <t xml:space="preserve">4–8</t>
  </si>
  <si>
    <t xml:space="preserve">Grower</t>
  </si>
  <si>
    <t xml:space="preserve">9–16</t>
  </si>
  <si>
    <t xml:space="preserve">Pre-lay</t>
  </si>
  <si>
    <t xml:space="preserve">17–22</t>
  </si>
  <si>
    <t xml:space="preserve">Peak production</t>
  </si>
  <si>
    <t xml:space="preserve">23–45</t>
  </si>
  <si>
    <t xml:space="preserve">Late production</t>
  </si>
  <si>
    <t xml:space="preserve">46–65</t>
  </si>
  <si>
    <t xml:space="preserve">พักโรง</t>
  </si>
  <si>
    <t xml:space="preserve">66–67</t>
  </si>
  <si>
    <t xml:space="preserve">รวม</t>
  </si>
  <si>
    <t xml:space="preserve">1 รอบ</t>
  </si>
  <si>
    <t xml:space="preserve">CALCULATION — PS1 (16 พัดลม, พื้นที่ 59.5 m²)</t>
  </si>
  <si>
    <t xml:space="preserve">ตัวเปิด</t>
  </si>
  <si>
    <t xml:space="preserve">AC kWh</t>
  </si>
  <si>
    <t xml:space="preserve">EC RPM</t>
  </si>
  <si>
    <t xml:space="preserve">EC W/ตัว</t>
  </si>
  <si>
    <t xml:space="preserve">EC kWh</t>
  </si>
  <si>
    <t xml:space="preserve">ส่วนต่าง</t>
  </si>
  <si>
    <t xml:space="preserve">% ประหยัด</t>
  </si>
  <si>
    <t xml:space="preserve">V_EC (m/s)</t>
  </si>
  <si>
    <t xml:space="preserve">CALCULATION — PS2 (20 พัดลม, พื้นที่ 61.74 m²)</t>
  </si>
  <si>
    <t xml:space="preserve">SUMMARY — สรุปผล</t>
  </si>
  <si>
    <t xml:space="preserve">รายการ</t>
  </si>
  <si>
    <t xml:space="preserve">ประหยัด (kWh)</t>
  </si>
  <si>
    <t xml:space="preserve">PS1 ต่อ 1 รอบ</t>
  </si>
  <si>
    <t xml:space="preserve">PS2 ต่อ 1 รอบ</t>
  </si>
  <si>
    <t xml:space="preserve">PS1+PS2 ต่อ 1 รอบ</t>
  </si>
  <si>
    <t xml:space="preserve">ต่อปี (Scale = 365 ÷ จำนวนวัน/รอบ)</t>
  </si>
  <si>
    <t xml:space="preserve">PS1 ต่อปี</t>
  </si>
  <si>
    <t xml:space="preserve">PS2 ต่อปี</t>
  </si>
  <si>
    <t xml:space="preserve">PS1+PS2 ต่อปี</t>
  </si>
  <si>
    <t xml:space="preserve">หมายเหตุ:</t>
  </si>
  <si>
    <t xml:space="preserve">1. กำหนด CFM Target ที่ต้องการต่อ Phase ระบบจะหา EC RPM ที่ต่ำสุดที่ยังให้ลมเพียงพอ</t>
  </si>
  <si>
    <t xml:space="preserve">2. จำนวนพัดลมที่เปิด = ROUNDUP(CFM_Target ÷ CFM_AC) — ใช้เหมือนกันทั้ง AC และ EC</t>
  </si>
  <si>
    <t xml:space="preserve">3. EC RPM เลือกจาก Lookup Table ผ่าน INDEX/MATCH (smallest RPM ที่ CFM ≥ ที่ต้องการ)</t>
  </si>
  <si>
    <t xml:space="preserve">4. V (m/s) = พัดลมเปิด × CFM/ตัว × 0.000472 ÷ พื้นที่หน้าตัดรวม (สำหรับโรง 2 ชั้น)</t>
  </si>
  <si>
    <t xml:space="preserve">5. แปลงเป็นเงิน: คูณ kWh × อัตราค่าไฟ</t>
  </si>
  <si>
    <t xml:space="preserve">6. ข้อมูล Lab จาก Univ. of Illinois Report 24611 (EC) &amp; 24579 (AC) ที่ 0.25 inH₂O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</si>
</sst>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#,##0.00"/>
    <numFmt numFmtId="168" formatCode="#,##0.00;\(#,##0.00\)"/>
    <numFmt numFmtId="169" formatCode="0.0%"/>
    <numFmt numFmtId="170" formatCode="#,##0;\(#,##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6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2"/>
  </cols>
  <sheetData>
    <row r="2" customFormat="false" ht="1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</row>
    <row r="6" customFormat="false" ht="15" hidden="false" customHeight="false" outlineLevel="0" collapsed="false">
      <c r="B6" s="4" t="n">
        <v>720</v>
      </c>
      <c r="C6" s="4" t="n">
        <v>1970</v>
      </c>
      <c r="D6" s="4" t="n">
        <v>29400</v>
      </c>
      <c r="E6" s="5" t="n">
        <f aca="false">IF(C6=0,0,D6/C6)</f>
        <v>14.9238578680203</v>
      </c>
    </row>
    <row r="7" customFormat="false" ht="15" hidden="false" customHeight="false" outlineLevel="0" collapsed="false">
      <c r="B7" s="4" t="n">
        <v>685</v>
      </c>
      <c r="C7" s="4" t="n">
        <v>1748</v>
      </c>
      <c r="D7" s="4" t="n">
        <v>27300</v>
      </c>
      <c r="E7" s="5" t="n">
        <f aca="false">IF(C7=0,0,D7/C7)</f>
        <v>15.6178489702517</v>
      </c>
    </row>
    <row r="8" customFormat="false" ht="15" hidden="false" customHeight="false" outlineLevel="0" collapsed="false">
      <c r="B8" s="4" t="n">
        <v>600</v>
      </c>
      <c r="C8" s="4" t="n">
        <v>1268</v>
      </c>
      <c r="D8" s="4" t="n">
        <v>22100</v>
      </c>
      <c r="E8" s="5" t="n">
        <f aca="false">IF(C8=0,0,D8/C8)</f>
        <v>17.4290220820189</v>
      </c>
    </row>
    <row r="9" customFormat="false" ht="15" hidden="false" customHeight="false" outlineLevel="0" collapsed="false">
      <c r="B9" s="4" t="n">
        <v>550</v>
      </c>
      <c r="C9" s="4" t="n">
        <v>1040</v>
      </c>
      <c r="D9" s="4" t="n">
        <v>19000</v>
      </c>
      <c r="E9" s="5" t="n">
        <f aca="false">IF(C9=0,0,D9/C9)</f>
        <v>18.2692307692308</v>
      </c>
    </row>
    <row r="10" customFormat="false" ht="15" hidden="false" customHeight="false" outlineLevel="0" collapsed="false">
      <c r="B10" s="4" t="n">
        <v>500</v>
      </c>
      <c r="C10" s="4" t="n">
        <v>794</v>
      </c>
      <c r="D10" s="4" t="n">
        <v>14400</v>
      </c>
      <c r="E10" s="5" t="n">
        <f aca="false">IF(C10=0,0,D10/C10)</f>
        <v>18.1360201511335</v>
      </c>
    </row>
    <row r="11" customFormat="false" ht="15" hidden="false" customHeight="false" outlineLevel="0" collapsed="false">
      <c r="B11" s="4" t="n">
        <v>450</v>
      </c>
      <c r="C11" s="4" t="n">
        <v>529</v>
      </c>
      <c r="D11" s="4" t="n">
        <v>7300</v>
      </c>
      <c r="E11" s="5" t="n">
        <f aca="false">IF(C11=0,0,D11/C11)</f>
        <v>13.7996219281664</v>
      </c>
    </row>
    <row r="12" customFormat="false" ht="15" hidden="false" customHeight="false" outlineLevel="0" collapsed="false">
      <c r="B12" s="4" t="n">
        <v>0</v>
      </c>
      <c r="C12" s="4" t="n">
        <v>0</v>
      </c>
      <c r="D12" s="4" t="n">
        <v>0</v>
      </c>
      <c r="E12" s="5" t="n">
        <f aca="false">IF(C12=0,0,D12/C12)</f>
        <v>0</v>
      </c>
    </row>
    <row r="14" customFormat="false" ht="15" hidden="false" customHeight="false" outlineLevel="0" collapsed="false">
      <c r="B14" s="2" t="s">
        <v>6</v>
      </c>
    </row>
    <row r="15" customFormat="false" ht="15" hidden="false" customHeight="false" outlineLevel="0" collapsed="false">
      <c r="B15" s="3" t="s">
        <v>3</v>
      </c>
      <c r="C15" s="3" t="s">
        <v>4</v>
      </c>
      <c r="D15" s="3" t="s">
        <v>5</v>
      </c>
    </row>
    <row r="16" customFormat="false" ht="15" hidden="false" customHeight="false" outlineLevel="0" collapsed="false">
      <c r="B16" s="4" t="n">
        <v>2137</v>
      </c>
      <c r="C16" s="4" t="n">
        <v>28900</v>
      </c>
      <c r="D16" s="5" t="n">
        <f aca="false">C16/B16</f>
        <v>13.523631258774</v>
      </c>
    </row>
    <row r="18" customFormat="false" ht="15" hidden="false" customHeight="false" outlineLevel="0" collapsed="false">
      <c r="B18" s="2" t="s">
        <v>7</v>
      </c>
    </row>
    <row r="19" customFormat="false" ht="15" hidden="false" customHeight="false" outlineLevel="0" collapsed="false">
      <c r="B19" s="3" t="s">
        <v>8</v>
      </c>
      <c r="C19" s="3" t="s">
        <v>9</v>
      </c>
      <c r="D19" s="3" t="s">
        <v>10</v>
      </c>
      <c r="E19" s="3" t="s">
        <v>11</v>
      </c>
    </row>
    <row r="20" customFormat="false" ht="15" hidden="false" customHeight="false" outlineLevel="0" collapsed="false">
      <c r="B20" s="6" t="s">
        <v>12</v>
      </c>
      <c r="C20" s="4" t="n">
        <v>16</v>
      </c>
      <c r="D20" s="7" t="n">
        <v>59.5</v>
      </c>
      <c r="E20" s="5" t="n">
        <f aca="false">D20*10.7639</f>
        <v>640.45205</v>
      </c>
    </row>
    <row r="21" customFormat="false" ht="15" hidden="false" customHeight="false" outlineLevel="0" collapsed="false">
      <c r="B21" s="6" t="s">
        <v>13</v>
      </c>
      <c r="C21" s="4" t="n">
        <v>20</v>
      </c>
      <c r="D21" s="7" t="n">
        <v>61.74</v>
      </c>
      <c r="E21" s="5" t="n">
        <f aca="false">D21*10.7639</f>
        <v>664.563186</v>
      </c>
    </row>
    <row r="23" customFormat="false" ht="15" hidden="false" customHeight="false" outlineLevel="0" collapsed="false">
      <c r="B23" s="2" t="s">
        <v>14</v>
      </c>
    </row>
    <row r="24" customFormat="false" ht="15" hidden="false" customHeight="false" outlineLevel="0" collapsed="false">
      <c r="B24" s="3" t="s">
        <v>15</v>
      </c>
      <c r="C24" s="3" t="s">
        <v>16</v>
      </c>
      <c r="D24" s="3" t="s">
        <v>17</v>
      </c>
      <c r="E24" s="3" t="s">
        <v>18</v>
      </c>
      <c r="F24" s="3" t="s">
        <v>19</v>
      </c>
      <c r="G24" s="3" t="s">
        <v>20</v>
      </c>
      <c r="H24" s="3" t="s">
        <v>21</v>
      </c>
    </row>
    <row r="25" customFormat="false" ht="15" hidden="false" customHeight="false" outlineLevel="0" collapsed="false">
      <c r="B25" s="8" t="n">
        <v>1</v>
      </c>
      <c r="C25" s="8" t="s">
        <v>22</v>
      </c>
      <c r="D25" s="8" t="s">
        <v>23</v>
      </c>
      <c r="E25" s="4" t="n">
        <v>21</v>
      </c>
      <c r="F25" s="4" t="n">
        <v>23120</v>
      </c>
      <c r="G25" s="4" t="n">
        <v>28900</v>
      </c>
      <c r="H25" s="4" t="n">
        <v>4</v>
      </c>
    </row>
    <row r="26" customFormat="false" ht="15" hidden="false" customHeight="false" outlineLevel="0" collapsed="false">
      <c r="B26" s="8" t="n">
        <v>2</v>
      </c>
      <c r="C26" s="8" t="s">
        <v>24</v>
      </c>
      <c r="D26" s="8" t="s">
        <v>25</v>
      </c>
      <c r="E26" s="4" t="n">
        <v>35</v>
      </c>
      <c r="F26" s="4" t="n">
        <v>69360</v>
      </c>
      <c r="G26" s="4" t="n">
        <v>86700</v>
      </c>
      <c r="H26" s="4" t="n">
        <v>18</v>
      </c>
    </row>
    <row r="27" customFormat="false" ht="15" hidden="false" customHeight="false" outlineLevel="0" collapsed="false">
      <c r="B27" s="8" t="n">
        <v>3</v>
      </c>
      <c r="C27" s="8" t="s">
        <v>26</v>
      </c>
      <c r="D27" s="8" t="s">
        <v>27</v>
      </c>
      <c r="E27" s="4" t="n">
        <v>56</v>
      </c>
      <c r="F27" s="4" t="n">
        <v>161840</v>
      </c>
      <c r="G27" s="4" t="n">
        <v>202300</v>
      </c>
      <c r="H27" s="4" t="n">
        <v>24</v>
      </c>
    </row>
    <row r="28" customFormat="false" ht="15" hidden="false" customHeight="false" outlineLevel="0" collapsed="false">
      <c r="B28" s="8" t="n">
        <v>4</v>
      </c>
      <c r="C28" s="8" t="s">
        <v>28</v>
      </c>
      <c r="D28" s="8" t="s">
        <v>29</v>
      </c>
      <c r="E28" s="4" t="n">
        <v>42</v>
      </c>
      <c r="F28" s="4" t="n">
        <v>277440</v>
      </c>
      <c r="G28" s="4" t="n">
        <v>346800</v>
      </c>
      <c r="H28" s="4" t="n">
        <v>24</v>
      </c>
    </row>
    <row r="29" customFormat="false" ht="15" hidden="false" customHeight="false" outlineLevel="0" collapsed="false">
      <c r="B29" s="8" t="n">
        <v>5</v>
      </c>
      <c r="C29" s="8" t="s">
        <v>30</v>
      </c>
      <c r="D29" s="8" t="s">
        <v>31</v>
      </c>
      <c r="E29" s="4" t="n">
        <v>161</v>
      </c>
      <c r="F29" s="4" t="n">
        <v>416160</v>
      </c>
      <c r="G29" s="4" t="n">
        <v>520200</v>
      </c>
      <c r="H29" s="4" t="n">
        <v>24</v>
      </c>
    </row>
    <row r="30" customFormat="false" ht="15" hidden="false" customHeight="false" outlineLevel="0" collapsed="false">
      <c r="B30" s="8" t="n">
        <v>6</v>
      </c>
      <c r="C30" s="8" t="s">
        <v>32</v>
      </c>
      <c r="D30" s="8" t="s">
        <v>33</v>
      </c>
      <c r="E30" s="4" t="n">
        <v>140</v>
      </c>
      <c r="F30" s="4" t="n">
        <v>346800</v>
      </c>
      <c r="G30" s="4" t="n">
        <v>433500</v>
      </c>
      <c r="H30" s="4" t="n">
        <v>24</v>
      </c>
    </row>
    <row r="31" customFormat="false" ht="15" hidden="false" customHeight="false" outlineLevel="0" collapsed="false">
      <c r="B31" s="8" t="n">
        <v>7</v>
      </c>
      <c r="C31" s="8" t="s">
        <v>34</v>
      </c>
      <c r="D31" s="8" t="s">
        <v>35</v>
      </c>
      <c r="E31" s="4" t="n">
        <v>14</v>
      </c>
      <c r="F31" s="4" t="n">
        <v>0</v>
      </c>
      <c r="G31" s="4" t="n">
        <v>0</v>
      </c>
      <c r="H31" s="4" t="n">
        <v>0</v>
      </c>
    </row>
    <row r="32" customFormat="false" ht="15" hidden="false" customHeight="false" outlineLevel="0" collapsed="false">
      <c r="B32" s="9" t="s">
        <v>36</v>
      </c>
      <c r="C32" s="9" t="s">
        <v>37</v>
      </c>
      <c r="D32" s="10"/>
      <c r="E32" s="11" t="n">
        <f aca="false">SUM(E25:E31)</f>
        <v>469</v>
      </c>
      <c r="F32" s="10"/>
      <c r="G32" s="10"/>
      <c r="H32" s="10"/>
    </row>
    <row r="35" customFormat="false" ht="15" hidden="false" customHeight="false" outlineLevel="0" collapsed="false">
      <c r="B35" s="2" t="s">
        <v>38</v>
      </c>
    </row>
    <row r="36" customFormat="false" ht="15" hidden="false" customHeight="false" outlineLevel="0" collapsed="false">
      <c r="B36" s="3" t="s">
        <v>15</v>
      </c>
      <c r="C36" s="3" t="s">
        <v>16</v>
      </c>
      <c r="D36" s="3" t="s">
        <v>39</v>
      </c>
      <c r="E36" s="3" t="s">
        <v>40</v>
      </c>
      <c r="F36" s="3" t="s">
        <v>41</v>
      </c>
      <c r="G36" s="3" t="s">
        <v>42</v>
      </c>
      <c r="H36" s="3" t="s">
        <v>43</v>
      </c>
      <c r="I36" s="3" t="s">
        <v>44</v>
      </c>
      <c r="J36" s="3" t="s">
        <v>45</v>
      </c>
      <c r="K36" s="3" t="s">
        <v>46</v>
      </c>
    </row>
    <row r="37" customFormat="false" ht="15" hidden="false" customHeight="false" outlineLevel="0" collapsed="false">
      <c r="B37" s="12" t="n">
        <f aca="false">B25</f>
        <v>1</v>
      </c>
      <c r="C37" s="12" t="str">
        <f aca="false">C25</f>
        <v>Brooding</v>
      </c>
      <c r="D37" s="13" t="n">
        <f aca="false">IF(F25=0,0,ROUNDUP(F25/$C$16,0))</f>
        <v>1</v>
      </c>
      <c r="E37" s="14" t="n">
        <f aca="false">D37*$B$16*H25*E25/1000</f>
        <v>179.508</v>
      </c>
      <c r="F37" s="13" t="n">
        <f aca="false">IF(D37=0,0,IFERROR(INDEX($B$6:$B$12,MATCH(F25/D37,$D$6:$D$12,-1)),$B$6))</f>
        <v>685</v>
      </c>
      <c r="G37" s="13" t="n">
        <f aca="false">IF(D37=0,0,IFERROR(INDEX($C$6:$C$12,MATCH(F25/D37,$D$6:$D$12,-1)),$C$6))</f>
        <v>1748</v>
      </c>
      <c r="H37" s="14" t="n">
        <f aca="false">D37*G37*H25*E25/1000</f>
        <v>146.832</v>
      </c>
      <c r="I37" s="15" t="n">
        <f aca="false">E37-H37</f>
        <v>32.676</v>
      </c>
      <c r="J37" s="16" t="n">
        <f aca="false">IF(E37=0,0,1-H37/E37)</f>
        <v>0.182030884417408</v>
      </c>
      <c r="K37" s="5" t="n">
        <f aca="false">IF(D37=0,0,D37*IFERROR(INDEX($D$6:$D$12,MATCH(F25/D37,$D$6:$D$12,-1)),$D$6)*0.000472/$D$20)</f>
        <v>0.216564705882353</v>
      </c>
    </row>
    <row r="38" customFormat="false" ht="15" hidden="false" customHeight="false" outlineLevel="0" collapsed="false">
      <c r="B38" s="12" t="n">
        <f aca="false">B26</f>
        <v>2</v>
      </c>
      <c r="C38" s="12" t="str">
        <f aca="false">C26</f>
        <v>Starter</v>
      </c>
      <c r="D38" s="13" t="n">
        <f aca="false">IF(F26=0,0,ROUNDUP(F26/$C$16,0))</f>
        <v>3</v>
      </c>
      <c r="E38" s="14" t="n">
        <f aca="false">D38*$B$16*H26*E26/1000</f>
        <v>4038.93</v>
      </c>
      <c r="F38" s="13" t="n">
        <f aca="false">IF(D38=0,0,IFERROR(INDEX($B$6:$B$12,MATCH(F26/D38,$D$6:$D$12,-1)),$B$6))</f>
        <v>685</v>
      </c>
      <c r="G38" s="13" t="n">
        <f aca="false">IF(D38=0,0,IFERROR(INDEX($C$6:$C$12,MATCH(F26/D38,$D$6:$D$12,-1)),$C$6))</f>
        <v>1748</v>
      </c>
      <c r="H38" s="14" t="n">
        <f aca="false">D38*G38*H26*E26/1000</f>
        <v>3303.72</v>
      </c>
      <c r="I38" s="15" t="n">
        <f aca="false">E38-H38</f>
        <v>735.21</v>
      </c>
      <c r="J38" s="16" t="n">
        <f aca="false">IF(E38=0,0,1-H38/E38)</f>
        <v>0.182030884417408</v>
      </c>
      <c r="K38" s="5" t="n">
        <f aca="false">IF(D38=0,0,D38*IFERROR(INDEX($D$6:$D$12,MATCH(F26/D38,$D$6:$D$12,-1)),$D$6)*0.000472/$D$20)</f>
        <v>0.649694117647059</v>
      </c>
    </row>
    <row r="39" customFormat="false" ht="15" hidden="false" customHeight="false" outlineLevel="0" collapsed="false">
      <c r="B39" s="12" t="n">
        <f aca="false">B27</f>
        <v>3</v>
      </c>
      <c r="C39" s="12" t="str">
        <f aca="false">C27</f>
        <v>Grower</v>
      </c>
      <c r="D39" s="13" t="n">
        <f aca="false">IF(F27=0,0,ROUNDUP(F27/$C$16,0))</f>
        <v>6</v>
      </c>
      <c r="E39" s="14" t="n">
        <f aca="false">D39*$B$16*H27*E27/1000</f>
        <v>17232.768</v>
      </c>
      <c r="F39" s="13" t="n">
        <f aca="false">IF(D39=0,0,IFERROR(INDEX($B$6:$B$12,MATCH(F27/D39,$D$6:$D$12,-1)),$B$6))</f>
        <v>685</v>
      </c>
      <c r="G39" s="13" t="n">
        <f aca="false">IF(D39=0,0,IFERROR(INDEX($C$6:$C$12,MATCH(F27/D39,$D$6:$D$12,-1)),$C$6))</f>
        <v>1748</v>
      </c>
      <c r="H39" s="14" t="n">
        <f aca="false">D39*G39*H27*E27/1000</f>
        <v>14095.872</v>
      </c>
      <c r="I39" s="15" t="n">
        <f aca="false">E39-H39</f>
        <v>3136.896</v>
      </c>
      <c r="J39" s="16" t="n">
        <f aca="false">IF(E39=0,0,1-H39/E39)</f>
        <v>0.182030884417408</v>
      </c>
      <c r="K39" s="5" t="n">
        <f aca="false">IF(D39=0,0,D39*IFERROR(INDEX($D$6:$D$12,MATCH(F27/D39,$D$6:$D$12,-1)),$D$6)*0.000472/$D$20)</f>
        <v>1.29938823529412</v>
      </c>
    </row>
    <row r="40" customFormat="false" ht="15" hidden="false" customHeight="false" outlineLevel="0" collapsed="false">
      <c r="B40" s="12" t="n">
        <f aca="false">B28</f>
        <v>4</v>
      </c>
      <c r="C40" s="12" t="str">
        <f aca="false">C28</f>
        <v>Pre-lay</v>
      </c>
      <c r="D40" s="13" t="n">
        <f aca="false">IF(F28=0,0,ROUNDUP(F28/$C$16,0))</f>
        <v>10</v>
      </c>
      <c r="E40" s="14" t="n">
        <f aca="false">D40*$B$16*H28*E28/1000</f>
        <v>21540.96</v>
      </c>
      <c r="F40" s="13" t="n">
        <f aca="false">IF(D40=0,0,IFERROR(INDEX($B$6:$B$12,MATCH(F28/D40,$D$6:$D$12,-1)),$B$6))</f>
        <v>720</v>
      </c>
      <c r="G40" s="13" t="n">
        <f aca="false">IF(D40=0,0,IFERROR(INDEX($C$6:$C$12,MATCH(F28/D40,$D$6:$D$12,-1)),$C$6))</f>
        <v>1970</v>
      </c>
      <c r="H40" s="14" t="n">
        <f aca="false">D40*G40*H28*E28/1000</f>
        <v>19857.6</v>
      </c>
      <c r="I40" s="15" t="n">
        <f aca="false">E40-H40</f>
        <v>1683.36</v>
      </c>
      <c r="J40" s="16" t="n">
        <f aca="false">IF(E40=0,0,1-H40/E40)</f>
        <v>0.0781469349555451</v>
      </c>
      <c r="K40" s="5" t="n">
        <f aca="false">IF(D40=0,0,D40*IFERROR(INDEX($D$6:$D$12,MATCH(F28/D40,$D$6:$D$12,-1)),$D$6)*0.000472/$D$20)</f>
        <v>2.33223529411765</v>
      </c>
    </row>
    <row r="41" customFormat="false" ht="15" hidden="false" customHeight="false" outlineLevel="0" collapsed="false">
      <c r="B41" s="12" t="n">
        <f aca="false">B29</f>
        <v>5</v>
      </c>
      <c r="C41" s="12" t="str">
        <f aca="false">C29</f>
        <v>Peak production</v>
      </c>
      <c r="D41" s="13" t="n">
        <f aca="false">IF(F29=0,0,ROUNDUP(F29/$C$16,0))</f>
        <v>15</v>
      </c>
      <c r="E41" s="14" t="n">
        <f aca="false">D41*$B$16*H29*E29/1000</f>
        <v>123860.52</v>
      </c>
      <c r="F41" s="13" t="n">
        <f aca="false">IF(D41=0,0,IFERROR(INDEX($B$6:$B$12,MATCH(F29/D41,$D$6:$D$12,-1)),$B$6))</f>
        <v>720</v>
      </c>
      <c r="G41" s="13" t="n">
        <f aca="false">IF(D41=0,0,IFERROR(INDEX($C$6:$C$12,MATCH(F29/D41,$D$6:$D$12,-1)),$C$6))</f>
        <v>1970</v>
      </c>
      <c r="H41" s="14" t="n">
        <f aca="false">D41*G41*H29*E29/1000</f>
        <v>114181.2</v>
      </c>
      <c r="I41" s="15" t="n">
        <f aca="false">E41-H41</f>
        <v>9679.32000000001</v>
      </c>
      <c r="J41" s="16" t="n">
        <f aca="false">IF(E41=0,0,1-H41/E41)</f>
        <v>0.0781469349555453</v>
      </c>
      <c r="K41" s="5" t="n">
        <f aca="false">IF(D41=0,0,D41*IFERROR(INDEX($D$6:$D$12,MATCH(F29/D41,$D$6:$D$12,-1)),$D$6)*0.000472/$D$20)</f>
        <v>3.49835294117647</v>
      </c>
    </row>
    <row r="42" customFormat="false" ht="15" hidden="false" customHeight="false" outlineLevel="0" collapsed="false">
      <c r="B42" s="12" t="n">
        <f aca="false">B30</f>
        <v>6</v>
      </c>
      <c r="C42" s="12" t="str">
        <f aca="false">C30</f>
        <v>Late production</v>
      </c>
      <c r="D42" s="13" t="n">
        <f aca="false">IF(F30=0,0,ROUNDUP(F30/$C$16,0))</f>
        <v>12</v>
      </c>
      <c r="E42" s="14" t="n">
        <f aca="false">D42*$B$16*H30*E30/1000</f>
        <v>86163.84</v>
      </c>
      <c r="F42" s="13" t="n">
        <f aca="false">IF(D42=0,0,IFERROR(INDEX($B$6:$B$12,MATCH(F30/D42,$D$6:$D$12,-1)),$B$6))</f>
        <v>720</v>
      </c>
      <c r="G42" s="13" t="n">
        <f aca="false">IF(D42=0,0,IFERROR(INDEX($C$6:$C$12,MATCH(F30/D42,$D$6:$D$12,-1)),$C$6))</f>
        <v>1970</v>
      </c>
      <c r="H42" s="14" t="n">
        <f aca="false">D42*G42*H30*E30/1000</f>
        <v>79430.4</v>
      </c>
      <c r="I42" s="15" t="n">
        <f aca="false">E42-H42</f>
        <v>6733.44</v>
      </c>
      <c r="J42" s="16" t="n">
        <f aca="false">IF(E42=0,0,1-H42/E42)</f>
        <v>0.0781469349555451</v>
      </c>
      <c r="K42" s="5" t="n">
        <f aca="false">IF(D42=0,0,D42*IFERROR(INDEX($D$6:$D$12,MATCH(F30/D42,$D$6:$D$12,-1)),$D$6)*0.000472/$D$20)</f>
        <v>2.79868235294118</v>
      </c>
    </row>
    <row r="43" customFormat="false" ht="15" hidden="false" customHeight="false" outlineLevel="0" collapsed="false">
      <c r="B43" s="12" t="n">
        <f aca="false">B31</f>
        <v>7</v>
      </c>
      <c r="C43" s="12" t="str">
        <f aca="false">C31</f>
        <v>พักโรง</v>
      </c>
      <c r="D43" s="13" t="n">
        <f aca="false">IF(F31=0,0,ROUNDUP(F31/$C$16,0))</f>
        <v>0</v>
      </c>
      <c r="E43" s="14" t="n">
        <f aca="false">D43*$B$16*H31*E31/1000</f>
        <v>0</v>
      </c>
      <c r="F43" s="13" t="n">
        <f aca="false">IF(D43=0,0,IFERROR(INDEX($B$6:$B$12,MATCH(F31/D43,$D$6:$D$12,-1)),$B$6))</f>
        <v>0</v>
      </c>
      <c r="G43" s="13" t="n">
        <f aca="false">IF(D43=0,0,IFERROR(INDEX($C$6:$C$12,MATCH(F31/D43,$D$6:$D$12,-1)),$C$6))</f>
        <v>0</v>
      </c>
      <c r="H43" s="14" t="n">
        <f aca="false">D43*G43*H31*E31/1000</f>
        <v>0</v>
      </c>
      <c r="I43" s="15" t="n">
        <f aca="false">E43-H43</f>
        <v>0</v>
      </c>
      <c r="J43" s="16" t="n">
        <f aca="false">IF(E43=0,0,1-H43/E43)</f>
        <v>0</v>
      </c>
      <c r="K43" s="5" t="n">
        <f aca="false">IF(D43=0,0,D43*IFERROR(INDEX($D$6:$D$12,MATCH(F31/D43,$D$6:$D$12,-1)),$D$6)*0.000472/$D$20)</f>
        <v>0</v>
      </c>
    </row>
    <row r="44" customFormat="false" ht="15" hidden="false" customHeight="false" outlineLevel="0" collapsed="false">
      <c r="B44" s="9" t="s">
        <v>36</v>
      </c>
      <c r="C44" s="9" t="s">
        <v>37</v>
      </c>
      <c r="D44" s="10"/>
      <c r="E44" s="11" t="n">
        <f aca="false">SUM(E37:E43)</f>
        <v>253016.526</v>
      </c>
      <c r="F44" s="10"/>
      <c r="G44" s="10"/>
      <c r="H44" s="11" t="n">
        <f aca="false">SUM(H37:H43)</f>
        <v>231015.624</v>
      </c>
      <c r="I44" s="17" t="n">
        <f aca="false">SUM(I37:I43)</f>
        <v>22000.902</v>
      </c>
      <c r="J44" s="18" t="n">
        <f aca="false">IF(E44=0,0,1-H44/E44)</f>
        <v>0.0869544070809036</v>
      </c>
      <c r="K44" s="10"/>
    </row>
    <row r="47" customFormat="false" ht="15" hidden="false" customHeight="false" outlineLevel="0" collapsed="false">
      <c r="B47" s="2" t="s">
        <v>47</v>
      </c>
    </row>
    <row r="48" customFormat="false" ht="15" hidden="false" customHeight="false" outlineLevel="0" collapsed="false">
      <c r="B48" s="3" t="s">
        <v>15</v>
      </c>
      <c r="C48" s="3" t="s">
        <v>16</v>
      </c>
      <c r="D48" s="3" t="s">
        <v>39</v>
      </c>
      <c r="E48" s="3" t="s">
        <v>40</v>
      </c>
      <c r="F48" s="3" t="s">
        <v>41</v>
      </c>
      <c r="G48" s="3" t="s">
        <v>42</v>
      </c>
      <c r="H48" s="3" t="s">
        <v>43</v>
      </c>
      <c r="I48" s="3" t="s">
        <v>44</v>
      </c>
      <c r="J48" s="3" t="s">
        <v>45</v>
      </c>
      <c r="K48" s="3" t="s">
        <v>46</v>
      </c>
    </row>
    <row r="49" customFormat="false" ht="15" hidden="false" customHeight="false" outlineLevel="0" collapsed="false">
      <c r="B49" s="12" t="n">
        <f aca="false">B25</f>
        <v>1</v>
      </c>
      <c r="C49" s="12" t="str">
        <f aca="false">C25</f>
        <v>Brooding</v>
      </c>
      <c r="D49" s="13" t="n">
        <f aca="false">IF(G25=0,0,ROUNDUP(G25/$C$16,0))</f>
        <v>1</v>
      </c>
      <c r="E49" s="14" t="n">
        <f aca="false">D49*$B$16*H25*E25/1000</f>
        <v>179.508</v>
      </c>
      <c r="F49" s="13" t="n">
        <f aca="false">IF(D49=0,0,IFERROR(INDEX($B$6:$B$12,MATCH(G25/D49,$D$6:$D$12,-1)),$B$6))</f>
        <v>720</v>
      </c>
      <c r="G49" s="13" t="n">
        <f aca="false">IF(D49=0,0,IFERROR(INDEX($C$6:$C$12,MATCH(G25/D49,$D$6:$D$12,-1)),$C$6))</f>
        <v>1970</v>
      </c>
      <c r="H49" s="14" t="n">
        <f aca="false">D49*G49*H25*E25/1000</f>
        <v>165.48</v>
      </c>
      <c r="I49" s="15" t="n">
        <f aca="false">E49-H49</f>
        <v>14.028</v>
      </c>
      <c r="J49" s="16" t="n">
        <f aca="false">IF(E49=0,0,1-H49/E49)</f>
        <v>0.0781469349555453</v>
      </c>
      <c r="K49" s="5" t="n">
        <f aca="false">IF(D49=0,0,D49*IFERROR(INDEX($D$6:$D$12,MATCH(G25/D49,$D$6:$D$12,-1)),$D$6)*0.000472/$D$21)</f>
        <v>0.224761904761905</v>
      </c>
    </row>
    <row r="50" customFormat="false" ht="15" hidden="false" customHeight="false" outlineLevel="0" collapsed="false">
      <c r="B50" s="12" t="n">
        <f aca="false">B26</f>
        <v>2</v>
      </c>
      <c r="C50" s="12" t="str">
        <f aca="false">C26</f>
        <v>Starter</v>
      </c>
      <c r="D50" s="13" t="n">
        <f aca="false">IF(G26=0,0,ROUNDUP(G26/$C$16,0))</f>
        <v>3</v>
      </c>
      <c r="E50" s="14" t="n">
        <f aca="false">D50*$B$16*H26*E26/1000</f>
        <v>4038.93</v>
      </c>
      <c r="F50" s="13" t="n">
        <f aca="false">IF(D50=0,0,IFERROR(INDEX($B$6:$B$12,MATCH(G26/D50,$D$6:$D$12,-1)),$B$6))</f>
        <v>720</v>
      </c>
      <c r="G50" s="13" t="n">
        <f aca="false">IF(D50=0,0,IFERROR(INDEX($C$6:$C$12,MATCH(G26/D50,$D$6:$D$12,-1)),$C$6))</f>
        <v>1970</v>
      </c>
      <c r="H50" s="14" t="n">
        <f aca="false">D50*G50*H26*E26/1000</f>
        <v>3723.3</v>
      </c>
      <c r="I50" s="15" t="n">
        <f aca="false">E50-H50</f>
        <v>315.63</v>
      </c>
      <c r="J50" s="16" t="n">
        <f aca="false">IF(E50=0,0,1-H50/E50)</f>
        <v>0.078146934955545</v>
      </c>
      <c r="K50" s="5" t="n">
        <f aca="false">IF(D50=0,0,D50*IFERROR(INDEX($D$6:$D$12,MATCH(G26/D50,$D$6:$D$12,-1)),$D$6)*0.000472/$D$21)</f>
        <v>0.674285714285714</v>
      </c>
    </row>
    <row r="51" customFormat="false" ht="15" hidden="false" customHeight="false" outlineLevel="0" collapsed="false">
      <c r="B51" s="12" t="n">
        <f aca="false">B27</f>
        <v>3</v>
      </c>
      <c r="C51" s="12" t="str">
        <f aca="false">C27</f>
        <v>Grower</v>
      </c>
      <c r="D51" s="13" t="n">
        <f aca="false">IF(G27=0,0,ROUNDUP(G27/$C$16,0))</f>
        <v>7</v>
      </c>
      <c r="E51" s="14" t="n">
        <f aca="false">D51*$B$16*H27*E27/1000</f>
        <v>20104.896</v>
      </c>
      <c r="F51" s="13" t="n">
        <f aca="false">IF(D51=0,0,IFERROR(INDEX($B$6:$B$12,MATCH(G27/D51,$D$6:$D$12,-1)),$B$6))</f>
        <v>720</v>
      </c>
      <c r="G51" s="13" t="n">
        <f aca="false">IF(D51=0,0,IFERROR(INDEX($C$6:$C$12,MATCH(G27/D51,$D$6:$D$12,-1)),$C$6))</f>
        <v>1970</v>
      </c>
      <c r="H51" s="14" t="n">
        <f aca="false">D51*G51*H27*E27/1000</f>
        <v>18533.76</v>
      </c>
      <c r="I51" s="15" t="n">
        <f aca="false">E51-H51</f>
        <v>1571.136</v>
      </c>
      <c r="J51" s="16" t="n">
        <f aca="false">IF(E51=0,0,1-H51/E51)</f>
        <v>0.0781469349555453</v>
      </c>
      <c r="K51" s="5" t="n">
        <f aca="false">IF(D51=0,0,D51*IFERROR(INDEX($D$6:$D$12,MATCH(G27/D51,$D$6:$D$12,-1)),$D$6)*0.000472/$D$21)</f>
        <v>1.57333333333333</v>
      </c>
    </row>
    <row r="52" customFormat="false" ht="15" hidden="false" customHeight="false" outlineLevel="0" collapsed="false">
      <c r="B52" s="12" t="n">
        <f aca="false">B28</f>
        <v>4</v>
      </c>
      <c r="C52" s="12" t="str">
        <f aca="false">C28</f>
        <v>Pre-lay</v>
      </c>
      <c r="D52" s="13" t="n">
        <f aca="false">IF(G28=0,0,ROUNDUP(G28/$C$16,0))</f>
        <v>12</v>
      </c>
      <c r="E52" s="14" t="n">
        <f aca="false">D52*$B$16*H28*E28/1000</f>
        <v>25849.152</v>
      </c>
      <c r="F52" s="13" t="n">
        <f aca="false">IF(D52=0,0,IFERROR(INDEX($B$6:$B$12,MATCH(G28/D52,$D$6:$D$12,-1)),$B$6))</f>
        <v>720</v>
      </c>
      <c r="G52" s="13" t="n">
        <f aca="false">IF(D52=0,0,IFERROR(INDEX($C$6:$C$12,MATCH(G28/D52,$D$6:$D$12,-1)),$C$6))</f>
        <v>1970</v>
      </c>
      <c r="H52" s="14" t="n">
        <f aca="false">D52*G52*H28*E28/1000</f>
        <v>23829.12</v>
      </c>
      <c r="I52" s="15" t="n">
        <f aca="false">E52-H52</f>
        <v>2020.032</v>
      </c>
      <c r="J52" s="16" t="n">
        <f aca="false">IF(E52=0,0,1-H52/E52)</f>
        <v>0.0781469349555451</v>
      </c>
      <c r="K52" s="5" t="n">
        <f aca="false">IF(D52=0,0,D52*IFERROR(INDEX($D$6:$D$12,MATCH(G28/D52,$D$6:$D$12,-1)),$D$6)*0.000472/$D$21)</f>
        <v>2.69714285714286</v>
      </c>
    </row>
    <row r="53" customFormat="false" ht="15" hidden="false" customHeight="false" outlineLevel="0" collapsed="false">
      <c r="B53" s="12" t="n">
        <f aca="false">B29</f>
        <v>5</v>
      </c>
      <c r="C53" s="12" t="str">
        <f aca="false">C29</f>
        <v>Peak production</v>
      </c>
      <c r="D53" s="13" t="n">
        <f aca="false">IF(G29=0,0,ROUNDUP(G29/$C$16,0))</f>
        <v>18</v>
      </c>
      <c r="E53" s="14" t="n">
        <f aca="false">D53*$B$16*H29*E29/1000</f>
        <v>148632.624</v>
      </c>
      <c r="F53" s="13" t="n">
        <f aca="false">IF(D53=0,0,IFERROR(INDEX($B$6:$B$12,MATCH(G29/D53,$D$6:$D$12,-1)),$B$6))</f>
        <v>720</v>
      </c>
      <c r="G53" s="13" t="n">
        <f aca="false">IF(D53=0,0,IFERROR(INDEX($C$6:$C$12,MATCH(G29/D53,$D$6:$D$12,-1)),$C$6))</f>
        <v>1970</v>
      </c>
      <c r="H53" s="14" t="n">
        <f aca="false">D53*G53*H29*E29/1000</f>
        <v>137017.44</v>
      </c>
      <c r="I53" s="15" t="n">
        <f aca="false">E53-H53</f>
        <v>11615.184</v>
      </c>
      <c r="J53" s="16" t="n">
        <f aca="false">IF(E53=0,0,1-H53/E53)</f>
        <v>0.0781469349555453</v>
      </c>
      <c r="K53" s="5" t="n">
        <f aca="false">IF(D53=0,0,D53*IFERROR(INDEX($D$6:$D$12,MATCH(G29/D53,$D$6:$D$12,-1)),$D$6)*0.000472/$D$21)</f>
        <v>4.04571428571429</v>
      </c>
    </row>
    <row r="54" customFormat="false" ht="15" hidden="false" customHeight="false" outlineLevel="0" collapsed="false">
      <c r="B54" s="12" t="n">
        <f aca="false">B30</f>
        <v>6</v>
      </c>
      <c r="C54" s="12" t="str">
        <f aca="false">C30</f>
        <v>Late production</v>
      </c>
      <c r="D54" s="13" t="n">
        <f aca="false">IF(G30=0,0,ROUNDUP(G30/$C$16,0))</f>
        <v>15</v>
      </c>
      <c r="E54" s="14" t="n">
        <f aca="false">D54*$B$16*H30*E30/1000</f>
        <v>107704.8</v>
      </c>
      <c r="F54" s="13" t="n">
        <f aca="false">IF(D54=0,0,IFERROR(INDEX($B$6:$B$12,MATCH(G30/D54,$D$6:$D$12,-1)),$B$6))</f>
        <v>720</v>
      </c>
      <c r="G54" s="13" t="n">
        <f aca="false">IF(D54=0,0,IFERROR(INDEX($C$6:$C$12,MATCH(G30/D54,$D$6:$D$12,-1)),$C$6))</f>
        <v>1970</v>
      </c>
      <c r="H54" s="14" t="n">
        <f aca="false">D54*G54*H30*E30/1000</f>
        <v>99288</v>
      </c>
      <c r="I54" s="15" t="n">
        <f aca="false">E54-H54</f>
        <v>8416.8</v>
      </c>
      <c r="J54" s="16" t="n">
        <f aca="false">IF(E54=0,0,1-H54/E54)</f>
        <v>0.0781469349555451</v>
      </c>
      <c r="K54" s="5" t="n">
        <f aca="false">IF(D54=0,0,D54*IFERROR(INDEX($D$6:$D$12,MATCH(G30/D54,$D$6:$D$12,-1)),$D$6)*0.000472/$D$21)</f>
        <v>3.37142857142857</v>
      </c>
    </row>
    <row r="55" customFormat="false" ht="15" hidden="false" customHeight="false" outlineLevel="0" collapsed="false">
      <c r="B55" s="12" t="n">
        <f aca="false">B31</f>
        <v>7</v>
      </c>
      <c r="C55" s="12" t="str">
        <f aca="false">C31</f>
        <v>พักโรง</v>
      </c>
      <c r="D55" s="13" t="n">
        <f aca="false">IF(G31=0,0,ROUNDUP(G31/$C$16,0))</f>
        <v>0</v>
      </c>
      <c r="E55" s="14" t="n">
        <f aca="false">D55*$B$16*H31*E31/1000</f>
        <v>0</v>
      </c>
      <c r="F55" s="13" t="n">
        <f aca="false">IF(D55=0,0,IFERROR(INDEX($B$6:$B$12,MATCH(G31/D55,$D$6:$D$12,-1)),$B$6))</f>
        <v>0</v>
      </c>
      <c r="G55" s="13" t="n">
        <f aca="false">IF(D55=0,0,IFERROR(INDEX($C$6:$C$12,MATCH(G31/D55,$D$6:$D$12,-1)),$C$6))</f>
        <v>0</v>
      </c>
      <c r="H55" s="14" t="n">
        <f aca="false">D55*G55*H31*E31/1000</f>
        <v>0</v>
      </c>
      <c r="I55" s="15" t="n">
        <f aca="false">E55-H55</f>
        <v>0</v>
      </c>
      <c r="J55" s="16" t="n">
        <f aca="false">IF(E55=0,0,1-H55/E55)</f>
        <v>0</v>
      </c>
      <c r="K55" s="5" t="n">
        <f aca="false">IF(D55=0,0,D55*IFERROR(INDEX($D$6:$D$12,MATCH(G31/D55,$D$6:$D$12,-1)),$D$6)*0.000472/$D$21)</f>
        <v>0</v>
      </c>
    </row>
    <row r="56" customFormat="false" ht="15" hidden="false" customHeight="false" outlineLevel="0" collapsed="false">
      <c r="B56" s="9" t="s">
        <v>36</v>
      </c>
      <c r="C56" s="9" t="s">
        <v>37</v>
      </c>
      <c r="D56" s="10"/>
      <c r="E56" s="11" t="n">
        <f aca="false">SUM(E49:E55)</f>
        <v>306509.91</v>
      </c>
      <c r="F56" s="10"/>
      <c r="G56" s="10"/>
      <c r="H56" s="11" t="n">
        <f aca="false">SUM(H49:H55)</f>
        <v>282557.1</v>
      </c>
      <c r="I56" s="17" t="n">
        <f aca="false">SUM(I49:I55)</f>
        <v>23952.81</v>
      </c>
      <c r="J56" s="18" t="n">
        <f aca="false">IF(E56=0,0,1-H56/E56)</f>
        <v>0.0781469349555454</v>
      </c>
      <c r="K56" s="10"/>
    </row>
    <row r="59" customFormat="false" ht="15" hidden="false" customHeight="false" outlineLevel="0" collapsed="false">
      <c r="B59" s="19" t="s">
        <v>48</v>
      </c>
    </row>
    <row r="60" customFormat="false" ht="15" hidden="false" customHeight="false" outlineLevel="0" collapsed="false">
      <c r="B60" s="3" t="s">
        <v>49</v>
      </c>
      <c r="C60" s="3" t="s">
        <v>40</v>
      </c>
      <c r="D60" s="3" t="s">
        <v>43</v>
      </c>
      <c r="E60" s="3" t="s">
        <v>50</v>
      </c>
      <c r="F60" s="3" t="s">
        <v>45</v>
      </c>
    </row>
    <row r="61" customFormat="false" ht="15" hidden="false" customHeight="false" outlineLevel="0" collapsed="false">
      <c r="B61" s="20" t="s">
        <v>51</v>
      </c>
      <c r="C61" s="13" t="n">
        <f aca="false">E44</f>
        <v>253016.526</v>
      </c>
      <c r="D61" s="13" t="n">
        <f aca="false">H44</f>
        <v>231015.624</v>
      </c>
      <c r="E61" s="21" t="n">
        <f aca="false">C61-D61</f>
        <v>22000.902</v>
      </c>
      <c r="F61" s="16" t="n">
        <f aca="false">IF(C61=0,0,1-D61/C61)</f>
        <v>0.0869544070809036</v>
      </c>
    </row>
    <row r="62" customFormat="false" ht="15" hidden="false" customHeight="false" outlineLevel="0" collapsed="false">
      <c r="B62" s="20" t="s">
        <v>52</v>
      </c>
      <c r="C62" s="13" t="n">
        <f aca="false">E56</f>
        <v>306509.91</v>
      </c>
      <c r="D62" s="13" t="n">
        <f aca="false">H56</f>
        <v>282557.1</v>
      </c>
      <c r="E62" s="21" t="n">
        <f aca="false">C62-D62</f>
        <v>23952.8100000001</v>
      </c>
      <c r="F62" s="16" t="n">
        <f aca="false">IF(C62=0,0,1-D62/C62)</f>
        <v>0.0781469349555454</v>
      </c>
    </row>
    <row r="63" customFormat="false" ht="15" hidden="false" customHeight="false" outlineLevel="0" collapsed="false">
      <c r="B63" s="22" t="s">
        <v>53</v>
      </c>
      <c r="C63" s="11" t="n">
        <f aca="false">C61+C62</f>
        <v>559526.436</v>
      </c>
      <c r="D63" s="11" t="n">
        <f aca="false">D61+D62</f>
        <v>513572.724</v>
      </c>
      <c r="E63" s="17" t="n">
        <f aca="false">C63-D63</f>
        <v>45953.7120000001</v>
      </c>
      <c r="F63" s="18" t="n">
        <f aca="false">IF(C63=0,0,1-D63/C63)</f>
        <v>0.0821296529410097</v>
      </c>
    </row>
    <row r="65" customFormat="false" ht="15" hidden="false" customHeight="false" outlineLevel="0" collapsed="false">
      <c r="B65" s="2" t="s">
        <v>54</v>
      </c>
    </row>
    <row r="66" customFormat="false" ht="15" hidden="false" customHeight="false" outlineLevel="0" collapsed="false">
      <c r="B66" s="20" t="s">
        <v>55</v>
      </c>
      <c r="C66" s="13" t="n">
        <f aca="false">C61*365/$E$32</f>
        <v>196910.515970149</v>
      </c>
      <c r="D66" s="13" t="n">
        <f aca="false">D61*365/$E$32</f>
        <v>179788.27880597</v>
      </c>
      <c r="E66" s="21" t="n">
        <f aca="false">C66-D66</f>
        <v>17122.2371641792</v>
      </c>
      <c r="F66" s="16" t="n">
        <f aca="false">IF(C66=0,0,1-D66/C66)</f>
        <v>0.0869544070809037</v>
      </c>
    </row>
    <row r="67" customFormat="false" ht="15" hidden="false" customHeight="false" outlineLevel="0" collapsed="false">
      <c r="B67" s="20" t="s">
        <v>56</v>
      </c>
      <c r="C67" s="13" t="n">
        <f aca="false">C62*365/$E$32</f>
        <v>238541.82761194</v>
      </c>
      <c r="D67" s="13" t="n">
        <f aca="false">D62*365/$E$32</f>
        <v>219900.514925373</v>
      </c>
      <c r="E67" s="21" t="n">
        <f aca="false">C67-D67</f>
        <v>18641.3126865672</v>
      </c>
      <c r="F67" s="16" t="n">
        <f aca="false">IF(C67=0,0,1-D67/C67)</f>
        <v>0.0781469349555453</v>
      </c>
    </row>
    <row r="68" customFormat="false" ht="15" hidden="false" customHeight="false" outlineLevel="0" collapsed="false">
      <c r="B68" s="22" t="s">
        <v>57</v>
      </c>
      <c r="C68" s="11" t="n">
        <f aca="false">C66+C67</f>
        <v>435452.34358209</v>
      </c>
      <c r="D68" s="11" t="n">
        <f aca="false">D66+D67</f>
        <v>399688.793731343</v>
      </c>
      <c r="E68" s="17" t="n">
        <f aca="false">C68-D68</f>
        <v>35763.5498507464</v>
      </c>
      <c r="F68" s="18" t="n">
        <f aca="false">IF(C68=0,0,1-D68/C68)</f>
        <v>0.0821296529410097</v>
      </c>
    </row>
    <row r="71" customFormat="false" ht="15" hidden="false" customHeight="false" outlineLevel="0" collapsed="false">
      <c r="B71" s="2" t="s">
        <v>58</v>
      </c>
    </row>
    <row r="72" customFormat="false" ht="15" hidden="false" customHeight="false" outlineLevel="0" collapsed="false">
      <c r="B72" s="23" t="s">
        <v>59</v>
      </c>
    </row>
    <row r="73" customFormat="false" ht="15" hidden="false" customHeight="false" outlineLevel="0" collapsed="false">
      <c r="B73" s="23" t="s">
        <v>60</v>
      </c>
    </row>
    <row r="74" customFormat="false" ht="15" hidden="false" customHeight="false" outlineLevel="0" collapsed="false">
      <c r="B74" s="23" t="s">
        <v>61</v>
      </c>
    </row>
    <row r="75" customFormat="false" ht="15" hidden="false" customHeight="false" outlineLevel="0" collapsed="false">
      <c r="B75" s="23" t="s">
        <v>62</v>
      </c>
    </row>
    <row r="76" customFormat="false" ht="15" hidden="false" customHeight="false" outlineLevel="0" collapsed="false">
      <c r="B76" s="23" t="s">
        <v>63</v>
      </c>
    </row>
    <row r="77" customFormat="false" ht="15" hidden="false" customHeight="false" outlineLevel="0" collapsed="false">
      <c r="B77" s="23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2026-05-16T14:10:51Z</dcterms:created>
  <dc:creator>openpyxl</dc:creator>
  <dc:description/>
  <dc:language>en-US</dc:language>
  <cp:lastModifiedBy/>
  <dcterms:modified xsi:type="dcterms:W3CDTF">2026-05-16T14:10:51Z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