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8e5d7cadb22e104b/Desktop/KSP/ฟาร์ม PS1^J PS2/"/>
    </mc:Choice>
  </mc:AlternateContent>
  <xr:revisionPtr revIDLastSave="12" documentId="11_DF2F5E852CBB6BBFDE558EB6193CC9B56F0EF82A" xr6:coauthVersionLast="47" xr6:coauthVersionMax="47" xr10:uidLastSave="{4FDF1E0F-C4C6-4F09-83DD-06BA4AED547B}"/>
  <bookViews>
    <workbookView xWindow="-108" yWindow="-108" windowWidth="23256" windowHeight="12456" tabRatio="500" xr2:uid="{00000000-000D-0000-FFFF-FFFF00000000}"/>
  </bookViews>
  <sheets>
    <sheet name="ค่าไฟ AC vs EC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" i="1" l="1"/>
  <c r="H40" i="1"/>
  <c r="D40" i="1"/>
  <c r="I39" i="1"/>
  <c r="H39" i="1"/>
  <c r="D39" i="1"/>
  <c r="I38" i="1"/>
  <c r="H38" i="1"/>
  <c r="D38" i="1"/>
  <c r="I37" i="1"/>
  <c r="H37" i="1"/>
  <c r="D37" i="1"/>
  <c r="I36" i="1"/>
  <c r="H36" i="1"/>
  <c r="D36" i="1"/>
  <c r="I31" i="1"/>
  <c r="H31" i="1"/>
  <c r="I30" i="1"/>
  <c r="H30" i="1"/>
  <c r="D30" i="1"/>
  <c r="I29" i="1"/>
  <c r="H29" i="1"/>
  <c r="D29" i="1"/>
  <c r="I28" i="1"/>
  <c r="H28" i="1"/>
  <c r="D28" i="1"/>
  <c r="I27" i="1"/>
  <c r="H27" i="1"/>
  <c r="D27" i="1"/>
  <c r="D31" i="1" s="1"/>
  <c r="I22" i="1"/>
  <c r="H22" i="1"/>
  <c r="I21" i="1"/>
  <c r="H21" i="1"/>
  <c r="D21" i="1"/>
  <c r="F21" i="1" s="1"/>
  <c r="I20" i="1"/>
  <c r="H20" i="1"/>
  <c r="D20" i="1"/>
  <c r="F20" i="1" s="1"/>
  <c r="I19" i="1"/>
  <c r="H19" i="1"/>
  <c r="D19" i="1"/>
  <c r="F19" i="1" s="1"/>
  <c r="I18" i="1"/>
  <c r="H18" i="1"/>
  <c r="D18" i="1"/>
  <c r="F18" i="1" s="1"/>
  <c r="F22" i="1" l="1"/>
  <c r="F27" i="1"/>
  <c r="F30" i="1"/>
  <c r="G21" i="1"/>
  <c r="F28" i="1"/>
  <c r="F29" i="1"/>
  <c r="D22" i="1"/>
  <c r="E20" i="1"/>
  <c r="E29" i="1" s="1"/>
  <c r="E38" i="1" s="1"/>
  <c r="E19" i="1"/>
  <c r="E28" i="1" s="1"/>
  <c r="E37" i="1" s="1"/>
  <c r="E21" i="1"/>
  <c r="E30" i="1" s="1"/>
  <c r="E39" i="1" s="1"/>
  <c r="E18" i="1"/>
  <c r="G19" i="1" l="1"/>
  <c r="F38" i="1"/>
  <c r="G38" i="1" s="1"/>
  <c r="G29" i="1"/>
  <c r="G20" i="1"/>
  <c r="G28" i="1"/>
  <c r="F37" i="1"/>
  <c r="G37" i="1" s="1"/>
  <c r="G30" i="1"/>
  <c r="F39" i="1"/>
  <c r="G39" i="1" s="1"/>
  <c r="F36" i="1"/>
  <c r="G27" i="1"/>
  <c r="G31" i="1" s="1"/>
  <c r="F31" i="1"/>
  <c r="E22" i="1"/>
  <c r="E27" i="1"/>
  <c r="G18" i="1"/>
  <c r="F40" i="1" l="1"/>
  <c r="G22" i="1"/>
  <c r="E36" i="1"/>
  <c r="E40" i="1" s="1"/>
  <c r="E31" i="1"/>
  <c r="G36" i="1" l="1"/>
  <c r="G40" i="1" s="1"/>
</calcChain>
</file>

<file path=xl/sharedStrings.xml><?xml version="1.0" encoding="utf-8"?>
<sst xmlns="http://schemas.openxmlformats.org/spreadsheetml/2006/main" count="79" uniqueCount="45">
  <si>
    <t>INPUT — สเปคพัดลม @ 0.25 inH₂O (62 Pa)</t>
  </si>
  <si>
    <t>รายการ</t>
  </si>
  <si>
    <t>AC Fan 50"</t>
  </si>
  <si>
    <t>EC Fan 50"</t>
  </si>
  <si>
    <t>หมายเหตุ</t>
  </si>
  <si>
    <t>กำลังไฟต่อตัว (W/ตัว)</t>
  </si>
  <si>
    <t>จาก Lab Report 24579 &amp; 24611 @ 0.25 inH₂O</t>
  </si>
  <si>
    <t>Airflow ต่อตัว (CFM/ตัว)</t>
  </si>
  <si>
    <t>AC: 706 rpm | EC: 720 rpm / 9.0 VDC</t>
  </si>
  <si>
    <t>Airflow ต่อตัว (m³/hr/ตัว)</t>
  </si>
  <si>
    <t>INPUT — เงื่อนไขการใช้งาน</t>
  </si>
  <si>
    <t>ชั่วโมงใช้งานต่อวัน (ชม.)</t>
  </si>
  <si>
    <t>วันต่อเดือน (วัน)</t>
  </si>
  <si>
    <t>วันต่อปี (วัน)</t>
  </si>
  <si>
    <t>จำนวนพัดลม PS1 ต่อชั้น</t>
  </si>
  <si>
    <t>จำนวนพัดลม PS2 ต่อชั้น</t>
  </si>
  <si>
    <t>ตารางที่ 1 — กำลังไฟฟ้ารวม (kW) แยกตามชั้น</t>
  </si>
  <si>
    <t>โรงเรือน</t>
  </si>
  <si>
    <t>ชั้น</t>
  </si>
  <si>
    <t>จำนวนพัดลม</t>
  </si>
  <si>
    <t>AC kW</t>
  </si>
  <si>
    <t>EC kW</t>
  </si>
  <si>
    <t>ส่วนต่าง (kW)</t>
  </si>
  <si>
    <t>CFM/W (AC)</t>
  </si>
  <si>
    <t>CFM/W (EC)</t>
  </si>
  <si>
    <t>PS1</t>
  </si>
  <si>
    <t>1st Floor</t>
  </si>
  <si>
    <t>2nd Floor</t>
  </si>
  <si>
    <t>PS2</t>
  </si>
  <si>
    <t>รวม PS1+PS2</t>
  </si>
  <si>
    <t>—</t>
  </si>
  <si>
    <t>ตารางที่ 2 — พลังงานไฟฟ้าต่อวัน (kWh/วัน) — เปิด 24 ชม.</t>
  </si>
  <si>
    <t>AC kWh/วัน</t>
  </si>
  <si>
    <t>EC kWh/วัน</t>
  </si>
  <si>
    <t>ส่วนต่าง (kWh/วัน)</t>
  </si>
  <si>
    <t>ตารางที่ 3 — พลังงานไฟฟ้าต่อเดือน (kWh/เดือน) — 30 วัน</t>
  </si>
  <si>
    <t>AC kWh/เดือน</t>
  </si>
  <si>
    <t>EC kWh/เดือน</t>
  </si>
  <si>
    <t>ส่วนต่าง (kWh/เดือน)</t>
  </si>
  <si>
    <t>หมายเหตุ:</t>
  </si>
  <si>
    <t>1. ค่าในช่องเหลือง (INPUT) สามารถแก้ได้ — สูตรในตารางจะคำนวณใหม่อัตโนมัติ</t>
  </si>
  <si>
    <t>2. กำลังไฟและ Airflow อ้างอิงจาก University of Illinois Lab Report 24579 (AC) และ 24611 (EC) ที่จุดทดสอบ 0.25 inH₂O</t>
  </si>
  <si>
    <t>3. EC Fan ใช้ข้อมูลที่ 720 rpm (9.0 VDC) — เปิดเต็มสุด เพื่อเทียบจุดทำงานเดียวกับ AC</t>
  </si>
  <si>
    <t>4. CFM/W = Airflow (CFM) ÷ กำลังไฟ (W) — ค่ายิ่งสูงยิ่งประหยัด</t>
  </si>
  <si>
    <t>5. แปลงเป็นเงิน: เอา kWh × อัตราค่าไฟ (฿/kWh) ของฟาร์มเอง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</si>
</sst>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#,##0.000;\(#,##0.000\)"/>
    <numFmt numFmtId="166" formatCode="0.000"/>
    <numFmt numFmtId="167" formatCode="#,##0.00;\(#,##0.00\)"/>
  </numFmts>
  <fonts count="4" x14ac:knownFonts="1">
    <font>
      <sz val="11"/>
      <color theme="1"/>
      <name val="Calibri"/>
      <family val="2"/>
      <charset val="1"/>
    </font>
    <font>
      <b/>
      <sz val="12"/>
      <name val="Arial"/>
      <charset val="1"/>
    </font>
    <font>
      <b/>
      <sz val="11"/>
      <name val="Arial"/>
      <charset val="1"/>
    </font>
    <font>
      <sz val="11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9E1F2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3" fontId="3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  <xf numFmtId="166" fontId="2" fillId="4" borderId="1" xfId="0" applyNumberFormat="1" applyFont="1" applyFill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167" fontId="3" fillId="0" borderId="1" xfId="0" applyNumberFormat="1" applyFont="1" applyBorder="1" applyAlignment="1">
      <alignment horizontal="center" vertical="center"/>
    </xf>
    <xf numFmtId="4" fontId="2" fillId="4" borderId="1" xfId="0" applyNumberFormat="1" applyFont="1" applyFill="1" applyBorder="1" applyAlignment="1">
      <alignment horizontal="center" vertical="center"/>
    </xf>
    <xf numFmtId="167" fontId="2" fillId="4" borderId="1" xfId="0" applyNumberFormat="1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48"/>
  <sheetViews>
    <sheetView tabSelected="1" topLeftCell="A3" zoomScaleNormal="100" workbookViewId="0">
      <selection activeCell="G21" sqref="G21"/>
    </sheetView>
  </sheetViews>
  <sheetFormatPr defaultColWidth="8.6640625" defaultRowHeight="14.4" x14ac:dyDescent="0.3"/>
  <cols>
    <col min="2" max="2" width="49" customWidth="1"/>
    <col min="3" max="3" width="11.77734375" bestFit="1" customWidth="1"/>
    <col min="4" max="4" width="14" customWidth="1"/>
    <col min="5" max="6" width="16" customWidth="1"/>
    <col min="7" max="7" width="18" customWidth="1"/>
    <col min="8" max="9" width="12" customWidth="1"/>
  </cols>
  <sheetData>
    <row r="2" spans="2:5" ht="15.6" x14ac:dyDescent="0.3">
      <c r="B2" s="1" t="s">
        <v>0</v>
      </c>
    </row>
    <row r="3" spans="2:5" x14ac:dyDescent="0.3">
      <c r="B3" s="2" t="s">
        <v>1</v>
      </c>
      <c r="C3" s="2" t="s">
        <v>2</v>
      </c>
      <c r="D3" s="2" t="s">
        <v>3</v>
      </c>
      <c r="E3" s="2" t="s">
        <v>4</v>
      </c>
    </row>
    <row r="4" spans="2:5" x14ac:dyDescent="0.3">
      <c r="B4" s="3" t="s">
        <v>5</v>
      </c>
      <c r="C4" s="4">
        <v>2137</v>
      </c>
      <c r="D4" s="4">
        <v>1970</v>
      </c>
      <c r="E4" s="5" t="s">
        <v>6</v>
      </c>
    </row>
    <row r="5" spans="2:5" x14ac:dyDescent="0.3">
      <c r="B5" s="3" t="s">
        <v>7</v>
      </c>
      <c r="C5" s="4">
        <v>28900</v>
      </c>
      <c r="D5" s="4">
        <v>29400</v>
      </c>
      <c r="E5" s="5" t="s">
        <v>8</v>
      </c>
    </row>
    <row r="6" spans="2:5" x14ac:dyDescent="0.3">
      <c r="B6" s="3" t="s">
        <v>9</v>
      </c>
      <c r="C6" s="4">
        <v>49000</v>
      </c>
      <c r="D6" s="4">
        <v>49900</v>
      </c>
      <c r="E6" s="5"/>
    </row>
    <row r="8" spans="2:5" x14ac:dyDescent="0.3">
      <c r="B8" t="s">
        <v>10</v>
      </c>
    </row>
    <row r="9" spans="2:5" ht="14.4" customHeight="1" x14ac:dyDescent="0.3">
      <c r="B9" t="s">
        <v>11</v>
      </c>
      <c r="C9" s="4">
        <v>24</v>
      </c>
    </row>
    <row r="10" spans="2:5" ht="14.4" customHeight="1" x14ac:dyDescent="0.3">
      <c r="B10" t="s">
        <v>12</v>
      </c>
      <c r="C10" s="4">
        <v>30</v>
      </c>
    </row>
    <row r="11" spans="2:5" ht="14.4" customHeight="1" x14ac:dyDescent="0.3">
      <c r="B11" t="s">
        <v>13</v>
      </c>
      <c r="C11" s="4">
        <v>365</v>
      </c>
    </row>
    <row r="12" spans="2:5" ht="14.4" customHeight="1" x14ac:dyDescent="0.3">
      <c r="B12" t="s">
        <v>14</v>
      </c>
      <c r="C12" s="4">
        <v>8</v>
      </c>
    </row>
    <row r="13" spans="2:5" ht="14.4" customHeight="1" x14ac:dyDescent="0.3">
      <c r="B13" t="s">
        <v>15</v>
      </c>
      <c r="C13" s="4">
        <v>10</v>
      </c>
    </row>
    <row r="16" spans="2:5" ht="15.6" x14ac:dyDescent="0.3">
      <c r="B16" s="1" t="s">
        <v>16</v>
      </c>
    </row>
    <row r="17" spans="2:9" x14ac:dyDescent="0.3">
      <c r="B17" s="2" t="s">
        <v>17</v>
      </c>
      <c r="C17" s="2" t="s">
        <v>18</v>
      </c>
      <c r="D17" s="2" t="s">
        <v>19</v>
      </c>
      <c r="E17" s="2" t="s">
        <v>20</v>
      </c>
      <c r="F17" s="2" t="s">
        <v>21</v>
      </c>
      <c r="G17" s="2" t="s">
        <v>22</v>
      </c>
      <c r="H17" s="2" t="s">
        <v>23</v>
      </c>
      <c r="I17" s="2" t="s">
        <v>24</v>
      </c>
    </row>
    <row r="18" spans="2:9" x14ac:dyDescent="0.3">
      <c r="B18" s="6" t="s">
        <v>25</v>
      </c>
      <c r="C18" s="6" t="s">
        <v>26</v>
      </c>
      <c r="D18" s="7">
        <f>$C$12</f>
        <v>8</v>
      </c>
      <c r="E18" s="8">
        <f>D18*$C$4/1000</f>
        <v>17.096</v>
      </c>
      <c r="F18" s="8">
        <f>D18*$D$4/1000</f>
        <v>15.76</v>
      </c>
      <c r="G18" s="9">
        <f>F18-E18</f>
        <v>-1.3360000000000003</v>
      </c>
      <c r="H18" s="10">
        <f>$C$5/$C$4</f>
        <v>13.523631258773982</v>
      </c>
      <c r="I18" s="10">
        <f>$D$5/$D$4</f>
        <v>14.923857868020304</v>
      </c>
    </row>
    <row r="19" spans="2:9" x14ac:dyDescent="0.3">
      <c r="B19" s="6" t="s">
        <v>25</v>
      </c>
      <c r="C19" s="6" t="s">
        <v>27</v>
      </c>
      <c r="D19" s="7">
        <f>$C$12</f>
        <v>8</v>
      </c>
      <c r="E19" s="8">
        <f>D19*$C$4/1000</f>
        <v>17.096</v>
      </c>
      <c r="F19" s="8">
        <f>D19*$D$4/1000</f>
        <v>15.76</v>
      </c>
      <c r="G19" s="9">
        <f>F19-E19</f>
        <v>-1.3360000000000003</v>
      </c>
      <c r="H19" s="10">
        <f>$C$5/$C$4</f>
        <v>13.523631258773982</v>
      </c>
      <c r="I19" s="10">
        <f>$D$5/$D$4</f>
        <v>14.923857868020304</v>
      </c>
    </row>
    <row r="20" spans="2:9" x14ac:dyDescent="0.3">
      <c r="B20" s="6" t="s">
        <v>28</v>
      </c>
      <c r="C20" s="6" t="s">
        <v>26</v>
      </c>
      <c r="D20" s="7">
        <f>$C$13</f>
        <v>10</v>
      </c>
      <c r="E20" s="8">
        <f>D20*$C$4/1000</f>
        <v>21.37</v>
      </c>
      <c r="F20" s="8">
        <f>D20*$D$4/1000</f>
        <v>19.7</v>
      </c>
      <c r="G20" s="9">
        <f>F20-E20</f>
        <v>-1.6700000000000017</v>
      </c>
      <c r="H20" s="10">
        <f>$C$5/$C$4</f>
        <v>13.523631258773982</v>
      </c>
      <c r="I20" s="10">
        <f>$D$5/$D$4</f>
        <v>14.923857868020304</v>
      </c>
    </row>
    <row r="21" spans="2:9" x14ac:dyDescent="0.3">
      <c r="B21" s="6" t="s">
        <v>28</v>
      </c>
      <c r="C21" s="6" t="s">
        <v>27</v>
      </c>
      <c r="D21" s="7">
        <f>$C$13</f>
        <v>10</v>
      </c>
      <c r="E21" s="8">
        <f>D21*$C$4/1000</f>
        <v>21.37</v>
      </c>
      <c r="F21" s="8">
        <f>D21*$D$4/1000</f>
        <v>19.7</v>
      </c>
      <c r="G21" s="9">
        <f>F21-E21</f>
        <v>-1.6700000000000017</v>
      </c>
      <c r="H21" s="10">
        <f>$C$5/$C$4</f>
        <v>13.523631258773982</v>
      </c>
      <c r="I21" s="10">
        <f>$D$5/$D$4</f>
        <v>14.923857868020304</v>
      </c>
    </row>
    <row r="22" spans="2:9" x14ac:dyDescent="0.3">
      <c r="B22" s="11" t="s">
        <v>29</v>
      </c>
      <c r="C22" s="12" t="s">
        <v>30</v>
      </c>
      <c r="D22" s="13">
        <f>SUM(D18:D21)</f>
        <v>36</v>
      </c>
      <c r="E22" s="14">
        <f>SUM(E18:E21)</f>
        <v>76.932000000000002</v>
      </c>
      <c r="F22" s="14">
        <f>SUM(F18:F21)</f>
        <v>70.92</v>
      </c>
      <c r="G22" s="15">
        <f>SUM(G18:G21)</f>
        <v>-6.012000000000004</v>
      </c>
      <c r="H22" s="16">
        <f>$C$5/$C$4</f>
        <v>13.523631258773982</v>
      </c>
      <c r="I22" s="16">
        <f>$D$5/$D$4</f>
        <v>14.923857868020304</v>
      </c>
    </row>
    <row r="25" spans="2:9" ht="15.6" x14ac:dyDescent="0.3">
      <c r="B25" s="1" t="s">
        <v>31</v>
      </c>
    </row>
    <row r="26" spans="2:9" x14ac:dyDescent="0.3">
      <c r="B26" s="2" t="s">
        <v>17</v>
      </c>
      <c r="C26" s="2" t="s">
        <v>18</v>
      </c>
      <c r="D26" s="2" t="s">
        <v>19</v>
      </c>
      <c r="E26" s="2" t="s">
        <v>32</v>
      </c>
      <c r="F26" s="2" t="s">
        <v>33</v>
      </c>
      <c r="G26" s="2" t="s">
        <v>34</v>
      </c>
      <c r="H26" s="2" t="s">
        <v>23</v>
      </c>
      <c r="I26" s="2" t="s">
        <v>24</v>
      </c>
    </row>
    <row r="27" spans="2:9" x14ac:dyDescent="0.3">
      <c r="B27" s="6" t="s">
        <v>25</v>
      </c>
      <c r="C27" s="6" t="s">
        <v>26</v>
      </c>
      <c r="D27" s="7">
        <f>$C$12</f>
        <v>8</v>
      </c>
      <c r="E27" s="17">
        <f t="shared" ref="E27:F30" si="0">E18*$C$9</f>
        <v>410.30399999999997</v>
      </c>
      <c r="F27" s="17">
        <f t="shared" si="0"/>
        <v>378.24</v>
      </c>
      <c r="G27" s="18">
        <f>F27-E27</f>
        <v>-32.063999999999965</v>
      </c>
      <c r="H27" s="10">
        <f>$C$5/$C$4</f>
        <v>13.523631258773982</v>
      </c>
      <c r="I27" s="10">
        <f>$D$5/$D$4</f>
        <v>14.923857868020304</v>
      </c>
    </row>
    <row r="28" spans="2:9" x14ac:dyDescent="0.3">
      <c r="B28" s="6" t="s">
        <v>25</v>
      </c>
      <c r="C28" s="6" t="s">
        <v>27</v>
      </c>
      <c r="D28" s="7">
        <f>$C$12</f>
        <v>8</v>
      </c>
      <c r="E28" s="17">
        <f t="shared" si="0"/>
        <v>410.30399999999997</v>
      </c>
      <c r="F28" s="17">
        <f t="shared" si="0"/>
        <v>378.24</v>
      </c>
      <c r="G28" s="18">
        <f>F28-E28</f>
        <v>-32.063999999999965</v>
      </c>
      <c r="H28" s="10">
        <f>$C$5/$C$4</f>
        <v>13.523631258773982</v>
      </c>
      <c r="I28" s="10">
        <f>$D$5/$D$4</f>
        <v>14.923857868020304</v>
      </c>
    </row>
    <row r="29" spans="2:9" x14ac:dyDescent="0.3">
      <c r="B29" s="6" t="s">
        <v>28</v>
      </c>
      <c r="C29" s="6" t="s">
        <v>26</v>
      </c>
      <c r="D29" s="7">
        <f>$C$13</f>
        <v>10</v>
      </c>
      <c r="E29" s="17">
        <f t="shared" si="0"/>
        <v>512.88</v>
      </c>
      <c r="F29" s="17">
        <f t="shared" si="0"/>
        <v>472.79999999999995</v>
      </c>
      <c r="G29" s="18">
        <f>F29-E29</f>
        <v>-40.080000000000041</v>
      </c>
      <c r="H29" s="10">
        <f>$C$5/$C$4</f>
        <v>13.523631258773982</v>
      </c>
      <c r="I29" s="10">
        <f>$D$5/$D$4</f>
        <v>14.923857868020304</v>
      </c>
    </row>
    <row r="30" spans="2:9" x14ac:dyDescent="0.3">
      <c r="B30" s="6" t="s">
        <v>28</v>
      </c>
      <c r="C30" s="6" t="s">
        <v>27</v>
      </c>
      <c r="D30" s="7">
        <f>$C$13</f>
        <v>10</v>
      </c>
      <c r="E30" s="17">
        <f t="shared" si="0"/>
        <v>512.88</v>
      </c>
      <c r="F30" s="17">
        <f t="shared" si="0"/>
        <v>472.79999999999995</v>
      </c>
      <c r="G30" s="18">
        <f>F30-E30</f>
        <v>-40.080000000000041</v>
      </c>
      <c r="H30" s="10">
        <f>$C$5/$C$4</f>
        <v>13.523631258773982</v>
      </c>
      <c r="I30" s="10">
        <f>$D$5/$D$4</f>
        <v>14.923857868020304</v>
      </c>
    </row>
    <row r="31" spans="2:9" x14ac:dyDescent="0.3">
      <c r="B31" s="11" t="s">
        <v>29</v>
      </c>
      <c r="C31" s="12" t="s">
        <v>30</v>
      </c>
      <c r="D31" s="13">
        <f>SUM(D27:D30)</f>
        <v>36</v>
      </c>
      <c r="E31" s="19">
        <f>SUM(E27:E30)</f>
        <v>1846.3679999999999</v>
      </c>
      <c r="F31" s="19">
        <f>SUM(F27:F30)</f>
        <v>1702.08</v>
      </c>
      <c r="G31" s="20">
        <f>SUM(G27:G30)</f>
        <v>-144.28800000000001</v>
      </c>
      <c r="H31" s="16">
        <f>$C$5/$C$4</f>
        <v>13.523631258773982</v>
      </c>
      <c r="I31" s="16">
        <f>$D$5/$D$4</f>
        <v>14.923857868020304</v>
      </c>
    </row>
    <row r="34" spans="2:9" ht="15.6" x14ac:dyDescent="0.3">
      <c r="B34" s="1" t="s">
        <v>35</v>
      </c>
    </row>
    <row r="35" spans="2:9" x14ac:dyDescent="0.3">
      <c r="B35" s="2" t="s">
        <v>17</v>
      </c>
      <c r="C35" s="2" t="s">
        <v>18</v>
      </c>
      <c r="D35" s="2" t="s">
        <v>19</v>
      </c>
      <c r="E35" s="2" t="s">
        <v>36</v>
      </c>
      <c r="F35" s="2" t="s">
        <v>37</v>
      </c>
      <c r="G35" s="2" t="s">
        <v>38</v>
      </c>
      <c r="H35" s="2" t="s">
        <v>23</v>
      </c>
      <c r="I35" s="2" t="s">
        <v>24</v>
      </c>
    </row>
    <row r="36" spans="2:9" x14ac:dyDescent="0.3">
      <c r="B36" s="6" t="s">
        <v>25</v>
      </c>
      <c r="C36" s="6" t="s">
        <v>26</v>
      </c>
      <c r="D36" s="7">
        <f>$C$12</f>
        <v>8</v>
      </c>
      <c r="E36" s="17">
        <f t="shared" ref="E36:F39" si="1">E27*$C$10</f>
        <v>12309.119999999999</v>
      </c>
      <c r="F36" s="17">
        <f t="shared" si="1"/>
        <v>11347.2</v>
      </c>
      <c r="G36" s="18">
        <f>F36-E36</f>
        <v>-961.91999999999825</v>
      </c>
      <c r="H36" s="10">
        <f>$C$5/$C$4</f>
        <v>13.523631258773982</v>
      </c>
      <c r="I36" s="10">
        <f>$D$5/$D$4</f>
        <v>14.923857868020304</v>
      </c>
    </row>
    <row r="37" spans="2:9" x14ac:dyDescent="0.3">
      <c r="B37" s="6" t="s">
        <v>25</v>
      </c>
      <c r="C37" s="6" t="s">
        <v>27</v>
      </c>
      <c r="D37" s="7">
        <f>$C$12</f>
        <v>8</v>
      </c>
      <c r="E37" s="17">
        <f t="shared" si="1"/>
        <v>12309.119999999999</v>
      </c>
      <c r="F37" s="17">
        <f t="shared" si="1"/>
        <v>11347.2</v>
      </c>
      <c r="G37" s="18">
        <f>F37-E37</f>
        <v>-961.91999999999825</v>
      </c>
      <c r="H37" s="10">
        <f>$C$5/$C$4</f>
        <v>13.523631258773982</v>
      </c>
      <c r="I37" s="10">
        <f>$D$5/$D$4</f>
        <v>14.923857868020304</v>
      </c>
    </row>
    <row r="38" spans="2:9" x14ac:dyDescent="0.3">
      <c r="B38" s="6" t="s">
        <v>28</v>
      </c>
      <c r="C38" s="6" t="s">
        <v>26</v>
      </c>
      <c r="D38" s="7">
        <f>$C$13</f>
        <v>10</v>
      </c>
      <c r="E38" s="17">
        <f t="shared" si="1"/>
        <v>15386.4</v>
      </c>
      <c r="F38" s="17">
        <f t="shared" si="1"/>
        <v>14183.999999999998</v>
      </c>
      <c r="G38" s="18">
        <f>F38-E38</f>
        <v>-1202.4000000000015</v>
      </c>
      <c r="H38" s="10">
        <f>$C$5/$C$4</f>
        <v>13.523631258773982</v>
      </c>
      <c r="I38" s="10">
        <f>$D$5/$D$4</f>
        <v>14.923857868020304</v>
      </c>
    </row>
    <row r="39" spans="2:9" x14ac:dyDescent="0.3">
      <c r="B39" s="6" t="s">
        <v>28</v>
      </c>
      <c r="C39" s="6" t="s">
        <v>27</v>
      </c>
      <c r="D39" s="7">
        <f>$C$13</f>
        <v>10</v>
      </c>
      <c r="E39" s="17">
        <f t="shared" si="1"/>
        <v>15386.4</v>
      </c>
      <c r="F39" s="17">
        <f t="shared" si="1"/>
        <v>14183.999999999998</v>
      </c>
      <c r="G39" s="18">
        <f>F39-E39</f>
        <v>-1202.4000000000015</v>
      </c>
      <c r="H39" s="10">
        <f>$C$5/$C$4</f>
        <v>13.523631258773982</v>
      </c>
      <c r="I39" s="10">
        <f>$D$5/$D$4</f>
        <v>14.923857868020304</v>
      </c>
    </row>
    <row r="40" spans="2:9" x14ac:dyDescent="0.3">
      <c r="B40" s="11" t="s">
        <v>29</v>
      </c>
      <c r="C40" s="12" t="s">
        <v>30</v>
      </c>
      <c r="D40" s="13">
        <f>SUM(D36:D39)</f>
        <v>36</v>
      </c>
      <c r="E40" s="19">
        <f>SUM(E36:E39)</f>
        <v>55391.040000000001</v>
      </c>
      <c r="F40" s="19">
        <f>SUM(F36:F39)</f>
        <v>51062.400000000001</v>
      </c>
      <c r="G40" s="20">
        <f>SUM(G36:G39)</f>
        <v>-4328.6399999999994</v>
      </c>
      <c r="H40" s="16">
        <f>$C$5/$C$4</f>
        <v>13.523631258773982</v>
      </c>
      <c r="I40" s="16">
        <f>$D$5/$D$4</f>
        <v>14.923857868020304</v>
      </c>
    </row>
    <row r="43" spans="2:9" x14ac:dyDescent="0.3">
      <c r="B43" s="21" t="s">
        <v>39</v>
      </c>
    </row>
    <row r="44" spans="2:9" x14ac:dyDescent="0.3">
      <c r="B44" s="22" t="s">
        <v>40</v>
      </c>
    </row>
    <row r="45" spans="2:9" x14ac:dyDescent="0.3">
      <c r="B45" s="22" t="s">
        <v>41</v>
      </c>
    </row>
    <row r="46" spans="2:9" x14ac:dyDescent="0.3">
      <c r="B46" s="22" t="s">
        <v>42</v>
      </c>
    </row>
    <row r="47" spans="2:9" x14ac:dyDescent="0.3">
      <c r="B47" s="22" t="s">
        <v>43</v>
      </c>
    </row>
    <row r="48" spans="2:9" x14ac:dyDescent="0.3">
      <c r="B48" s="22" t="s">
        <v>44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ค่าไฟ AC vs 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Thanapat Seekeaw</cp:lastModifiedBy>
  <cp:revision>0</cp:revision>
  <dcterms:created xsi:type="dcterms:W3CDTF">2026-05-15T08:11:18Z</dcterms:created>
  <dcterms:modified xsi:type="dcterms:W3CDTF">2026-05-15T08:23:55Z</dcterms:modified>
  <dc:language>en-US</dc:language>
</cp:coreProperties>
</file>